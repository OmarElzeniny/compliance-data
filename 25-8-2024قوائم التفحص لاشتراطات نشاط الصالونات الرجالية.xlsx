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C:\Users\lafaqih\Desktop\"/>
    </mc:Choice>
  </mc:AlternateContent>
  <xr:revisionPtr revIDLastSave="0" documentId="8_{1C6A5EF8-AE22-4854-A520-49EEAAF657BE}" xr6:coauthVersionLast="36" xr6:coauthVersionMax="36" xr10:uidLastSave="{00000000-0000-0000-0000-000000000000}"/>
  <bookViews>
    <workbookView xWindow="0" yWindow="0" windowWidth="23040" windowHeight="8484" activeTab="1" xr2:uid="{00000000-000D-0000-FFFF-FFFF00000000}"/>
  </bookViews>
  <sheets>
    <sheet name="قوائم_التدقيق" sheetId="1" r:id="rId1"/>
    <sheet name="قوائم_التفحص" sheetId="5" r:id="rId2"/>
  </sheets>
  <externalReferences>
    <externalReference r:id="rId3"/>
    <externalReference r:id="rId4"/>
  </externalReferences>
  <definedNames>
    <definedName name="_xlnm._FilterDatabase" localSheetId="0" hidden="1">قوائم_التدقيق!$B$2:$H$62</definedName>
    <definedName name="_xlnm._FilterDatabase" localSheetId="1" hidden="1">قوائم_التفحص!$B$2:$J$122</definedName>
    <definedName name="_xlnm.Print_Area" localSheetId="0">قوائم_التدقيق!$A$1:$I$66</definedName>
    <definedName name="_xlnm.Print_Area" localSheetId="1">قوائم_التفحص!$A$1:$K$132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9" i="5" l="1"/>
  <c r="G116" i="5"/>
  <c r="G115" i="5"/>
  <c r="G114" i="5"/>
  <c r="G128" i="5"/>
  <c r="G127" i="5"/>
  <c r="G126" i="5"/>
  <c r="G125" i="5"/>
  <c r="G124" i="5"/>
  <c r="G123" i="5"/>
  <c r="G121" i="5"/>
  <c r="G120" i="5"/>
  <c r="G119" i="5"/>
  <c r="G118" i="5"/>
  <c r="G117" i="5"/>
  <c r="G84" i="5"/>
  <c r="G83" i="5"/>
  <c r="G82" i="5"/>
  <c r="G81" i="5"/>
  <c r="G80" i="5"/>
  <c r="G79" i="5"/>
  <c r="G78" i="5"/>
  <c r="G75" i="5"/>
  <c r="G76" i="5"/>
  <c r="G67" i="5"/>
  <c r="G52" i="5"/>
  <c r="G51" i="5"/>
  <c r="G50" i="5"/>
  <c r="G49" i="5"/>
  <c r="G48" i="5"/>
  <c r="G47" i="5"/>
  <c r="G12" i="5" l="1"/>
  <c r="B86" i="5" l="1"/>
  <c r="B116" i="5" l="1"/>
  <c r="B115" i="5"/>
  <c r="B114" i="5"/>
  <c r="B113" i="5"/>
  <c r="B112" i="5"/>
  <c r="B111" i="5"/>
  <c r="B110" i="5"/>
  <c r="B109" i="5"/>
  <c r="G93" i="5"/>
  <c r="G92" i="5"/>
  <c r="G91" i="5"/>
  <c r="B91" i="5"/>
  <c r="G90" i="5"/>
  <c r="B90" i="5"/>
  <c r="G89" i="5"/>
  <c r="B89" i="5"/>
  <c r="G88" i="5"/>
  <c r="B88" i="5"/>
  <c r="G87" i="5"/>
  <c r="B87" i="5"/>
  <c r="G86" i="5"/>
  <c r="G85" i="5"/>
  <c r="B85" i="5"/>
  <c r="B84" i="5"/>
  <c r="B83" i="5"/>
  <c r="B82" i="5"/>
  <c r="B81" i="5"/>
  <c r="B80" i="5"/>
  <c r="B79" i="5"/>
  <c r="G77" i="5"/>
  <c r="G72" i="5"/>
  <c r="G73" i="5"/>
  <c r="G71" i="5"/>
  <c r="G70" i="5"/>
  <c r="G68" i="5"/>
  <c r="G66" i="5"/>
  <c r="G65" i="5"/>
  <c r="G57" i="5"/>
  <c r="G55" i="5"/>
  <c r="G64" i="5"/>
  <c r="G63" i="5"/>
  <c r="G59" i="5"/>
  <c r="G56" i="5"/>
  <c r="G54" i="5"/>
  <c r="G41" i="5"/>
  <c r="B41" i="5"/>
  <c r="G40" i="5"/>
  <c r="B40" i="5"/>
  <c r="G39" i="5"/>
  <c r="B39" i="5"/>
  <c r="G38" i="5"/>
  <c r="B38" i="5"/>
  <c r="G37" i="5"/>
  <c r="B37" i="5"/>
  <c r="G36" i="5"/>
  <c r="B36" i="5"/>
  <c r="G35" i="5"/>
  <c r="B35" i="5"/>
  <c r="G34" i="5"/>
  <c r="B34" i="5"/>
  <c r="G33" i="5"/>
  <c r="B33" i="5"/>
  <c r="G32" i="5"/>
  <c r="B32" i="5"/>
  <c r="G31" i="5"/>
  <c r="B31" i="5"/>
  <c r="G30" i="5"/>
  <c r="B30" i="5"/>
  <c r="G21" i="5" l="1"/>
  <c r="G20" i="5"/>
  <c r="G19" i="5"/>
  <c r="G18" i="5"/>
  <c r="G17" i="5"/>
  <c r="G16" i="5"/>
  <c r="G14" i="5"/>
  <c r="G7" i="5"/>
  <c r="G6" i="5"/>
  <c r="G5" i="5"/>
  <c r="G102" i="5" l="1"/>
  <c r="G103" i="5"/>
  <c r="G104" i="5"/>
  <c r="G105" i="5"/>
  <c r="G106" i="5"/>
  <c r="G107" i="5"/>
  <c r="G108" i="5"/>
  <c r="G101" i="5"/>
  <c r="G94" i="5"/>
  <c r="G95" i="5"/>
  <c r="G96" i="5"/>
  <c r="G97" i="5"/>
  <c r="G98" i="5"/>
  <c r="G99" i="5"/>
  <c r="G100" i="5"/>
  <c r="G43" i="5"/>
  <c r="G44" i="5"/>
  <c r="G45" i="5"/>
  <c r="G46" i="5"/>
  <c r="G53" i="5"/>
  <c r="G58" i="5"/>
  <c r="G60" i="5"/>
  <c r="G61" i="5"/>
  <c r="G62" i="5"/>
  <c r="G69" i="5"/>
  <c r="G26" i="5"/>
  <c r="G25" i="5"/>
  <c r="G24" i="5"/>
  <c r="G23" i="5"/>
  <c r="G22" i="5"/>
</calcChain>
</file>

<file path=xl/sharedStrings.xml><?xml version="1.0" encoding="utf-8"?>
<sst xmlns="http://schemas.openxmlformats.org/spreadsheetml/2006/main" count="1015" uniqueCount="345">
  <si>
    <t>الرقم</t>
  </si>
  <si>
    <t>التصنيف الرئيسي</t>
  </si>
  <si>
    <t>التصنيف الفرعي</t>
  </si>
  <si>
    <t>البند/الاشتراط</t>
  </si>
  <si>
    <t xml:space="preserve"> الامتثال</t>
  </si>
  <si>
    <t>المتطلبات المكانية</t>
  </si>
  <si>
    <t>متطلبات الموقع</t>
  </si>
  <si>
    <t>جزء من مبنى قائم</t>
  </si>
  <si>
    <t xml:space="preserve">داخل المدينة </t>
  </si>
  <si>
    <t>خارج الكتلة العمرانية</t>
  </si>
  <si>
    <t>لا ينطبق.</t>
  </si>
  <si>
    <t>المنطقة / الشوارع</t>
  </si>
  <si>
    <t>الارتدادات المطلوبة</t>
  </si>
  <si>
    <t>حسب نظام البناء المعتمد في المنطقة الواقع بها.</t>
  </si>
  <si>
    <t>الحد الأدنى لمساحة المحل</t>
  </si>
  <si>
    <t>الارتفاعات المسموح بها</t>
  </si>
  <si>
    <t>لا ينطبق</t>
  </si>
  <si>
    <t>التشجير</t>
  </si>
  <si>
    <t>نسبة التغطية</t>
  </si>
  <si>
    <t>المواقف المطلوبة</t>
  </si>
  <si>
    <t>موقع مستقل</t>
  </si>
  <si>
    <t>وفق نظام البناء المعتمد في المنطقة الواقع بها النشاط.</t>
  </si>
  <si>
    <t>توفير موقف سيارة واحدة لكل (25) متر مربع.</t>
  </si>
  <si>
    <t>متطلبات الأنشطة الإضافية والمتجانسة</t>
  </si>
  <si>
    <t>يسمح بممارسة الأنشطة الإضافية المعتمدة من الوزارة وفق الشروط التالية:
ألّا يتجاوز مجموع مساحات الأنشطة المضافة عن 50 % من المساحة الإجمالية الواردة في الترخيص.
المحافظة على الحد الأدنى لمساحة النشاط الرئيسي.
ألّا تقل مساحة النشاط الإضافي عن 6م2 ويستثنى من ذلك مكائن الخدمة الذاتية. 
يسمح بممارسة الأنشطة المتجانسة المعتمدة من قبل الوزارة ضمن المساحة الواردة في الترخيص.</t>
  </si>
  <si>
    <t>متطلبات اللوحات التجارية</t>
  </si>
  <si>
    <t>يجب التقيد بمتطلبات اللوحات التجارية أدناه حسب نطاق تطبيقها: 
الكود العمراني للمنطقة الواقع فيها النشاط (إن وجد).
الدليل التنظيمي الصادر من الأمانة/البلدية التي يقع النشاط في حدود نطاقها.
الدليل الإرشادي للوحات التجارية الصادر من الوزارة.
يجب أن تكون بيانات اللوحة مطابقة لبيانات الترخيص.
يجب إزالة اللوحات التجارية بعد إلغاء الترخيص وتسليم الموقع بحالة جيدة وإعادة الوضع لما كان عليه قبل التركيب.</t>
  </si>
  <si>
    <t xml:space="preserve">متطلبات الترخيص  </t>
  </si>
  <si>
    <t>يجب أن تكون إجراءات الإصدار والإلغاء والتجديد والتعديل للترخيص وفقاً لنظام إجراءات التراخيص البلدية ولائحته التنفيذية.</t>
  </si>
  <si>
    <t>يجب الحصول على موافقة الدفاع المدني قبل إصدار الترخيص.</t>
  </si>
  <si>
    <t xml:space="preserve">يجب تقديم سجل تجاري ساري المفعول يحتوي على النشاط/الأنشطة المطلوب ترخيصها، أو وثيقة ممارسة نشاط مقبولة لدى الوزارة.  </t>
  </si>
  <si>
    <t>المتطلبات الفنية</t>
  </si>
  <si>
    <t>المتطلبات العامة</t>
  </si>
  <si>
    <t>الالتزام بتطبيق متطلبات كود البناء السعودي (والتي تشمل على سبيل المثال لا الحصر: المتطلبات الإنشائية، المتطلبات الكهربائيـــة، المتطلبات الميكانيكية، متطلبات التهويـــة والتكييف، المتطلبات الصحية، متطلبات ترشيد الطاقة، وغيرها) وجميع اشتراطات الجهة المشرفة - إن وجدت - فيما يخص نشاط الحلاقة والعناية بالرجل، مع تنفيذ جميـــع الأعمال والتجهيزات والمواد طبقـــا للمواصفات القياســـية المعتمدة.</t>
  </si>
  <si>
    <t>الالتزام باعتماد كافة أعامل التصميم والإشراف على التنفيذ من قبل مكاتب هندسية معتمدة لدى الوزارة.</t>
  </si>
  <si>
    <t>أن يتم التنفيذ بواسطة مقاولين معتمدين لدى الوزارة.</t>
  </si>
  <si>
    <t>متطلبات الواجهات والمظهر العام</t>
  </si>
  <si>
    <t>يجب أن تكون واجهة المحل/المنشأة من الزجاج الشفاف السيكوريت وما في حكمه بسماكة لا تقل عن 12ملم وتشمل أبواب بعرض لا يقل عن 90سم للأبواب المفردة، وبعرض لا يقل عن 160سم للأبواب المزدوجة.</t>
  </si>
  <si>
    <t>متطلبات الدرج والأرصفة الخارجية</t>
  </si>
  <si>
    <t>يجب أن يكون المنحدر خاليا من العيوب ولا يؤثر على الرصيف الخارجي ولا يسبب أي تشوه بصري.</t>
  </si>
  <si>
    <t>متطلبات الجدران الداخلية</t>
  </si>
  <si>
    <t>يجب أن تكون أسطح الجدران والفواصل الجدارية مقاومة للرطوبة، مقاومة للحريق، وقابلة للتنظيف.</t>
  </si>
  <si>
    <t xml:space="preserve">يوصى بأن تكون الزوايا بين الجدران وكل من الأرضيات والأسقف غير حادة ويفضل أن يكون بها استدارة أو ميل بزاوية 45 درجة ليسهل تنظيفها وتطهيرها، ولمنع تراكم الملوثات. </t>
  </si>
  <si>
    <t>متطلبات الأرضيات</t>
  </si>
  <si>
    <t>متطلبات الأسقف</t>
  </si>
  <si>
    <t>يسمح بتركيب السقف المستعار واستخدام الأسقف المكشوفة والهياكل الحديدية والألواح المعدنية على أن يتم الأخذ بالاعتبار مراعاة متطلبات الأمن والسلامة الخاصة بالأسقف.</t>
  </si>
  <si>
    <t>يجب أن تكون الألواح المعدنية أو الهياكل الحديدية معالجة بمواد مقاومة للصدأ، في حال استخدامها للأسقف.</t>
  </si>
  <si>
    <t>متطلبات الإضاءة</t>
  </si>
  <si>
    <t>يجب التأكد من كفاءة توزيع الضوء وتغطيته لجميع مساحات المحل/المنشأة بما فيها المخزن، بما يضمن سلامة العاملين والمستفيدين.</t>
  </si>
  <si>
    <t>يمنع استخدام الإنارة الغازية داخل وخارج المحل/المنشأة.</t>
  </si>
  <si>
    <t>المتطلبات الإضافية الخاصة بالمخزن</t>
  </si>
  <si>
    <t>يمنع تكدس البضائع داخل المحل أو المخزن بشكل عشوائي.</t>
  </si>
  <si>
    <t>متطلبات الوقاية والحماية من الحريق</t>
  </si>
  <si>
    <t>يجب الرجوع لكافـــة المتطلبات والاشـــتراطات الواردة في الكود الســـعودي للحماية من الحرائق (801 SBC) ويتم تحديدها والتأكد من توفرها في الموقع من خلال أحد المكاتب الهندسية الاستشارية المعتمدة من المديرية العامة للدفاع المدني.</t>
  </si>
  <si>
    <t>الاحكام العامة</t>
  </si>
  <si>
    <t>تصنيف الامتثال</t>
  </si>
  <si>
    <t>مستوى الخطورة</t>
  </si>
  <si>
    <t>جسامة المخالفة</t>
  </si>
  <si>
    <t>المخالفات المرتبطة بالاشتراط</t>
  </si>
  <si>
    <t>بند المخالفة</t>
  </si>
  <si>
    <t>مخالفات الرخصة ومزاولة النشاط</t>
  </si>
  <si>
    <t>غير جسيمة</t>
  </si>
  <si>
    <t>متطلبات الواجهات والمظهر العام للنشاط</t>
  </si>
  <si>
    <t>المبنى والتجهيزات</t>
  </si>
  <si>
    <t>عدم تركيب الزجاج الشفاف في واجهة المحل / المنشأة وفق متطلبات النشاط</t>
  </si>
  <si>
    <t>1/3/4</t>
  </si>
  <si>
    <t>جسيمة</t>
  </si>
  <si>
    <t>1/3/7</t>
  </si>
  <si>
    <t>1/3/6</t>
  </si>
  <si>
    <t>هل تم تنفيذ الدرج الخارجي ومنحدر الأشخاص ذوي الإعاقة ضمن حدود المحل/المنشأة؟</t>
  </si>
  <si>
    <t>متطلبات الارضيات</t>
  </si>
  <si>
    <t xml:space="preserve">هل تلتزم المنشأة بإغلاق الفتحات التالية:
1. فتحات التصريف
2. خزانات المياه
3. أنظمة الصرف الصحي
4. غرف التفتيش
 </t>
  </si>
  <si>
    <t>عدم إحكام تغطية خزانات المياه والصرف الصحي وغرف التفتيش أمام المحل / المنشأة</t>
  </si>
  <si>
    <t>1/3/13</t>
  </si>
  <si>
    <t xml:space="preserve">عدم الإلتزام بمتطلبات ومتطلبات الأرضيات والجدران والأسقف </t>
  </si>
  <si>
    <t>1/3/2</t>
  </si>
  <si>
    <t>هل تلتزم المنشأة بتوفير معدات إضاءة مطابقة للمواصفات القياسية المعتمدة.</t>
  </si>
  <si>
    <t>مخالفة متطلبات الإضاءة</t>
  </si>
  <si>
    <t>1/3/18</t>
  </si>
  <si>
    <t>أي مخالفة لاشتراطات التراخيص ومزاولة النشاط لم يرد لها عقوبة</t>
  </si>
  <si>
    <t>1/1/16</t>
  </si>
  <si>
    <t xml:space="preserve">المتطلبات التشغيلية </t>
  </si>
  <si>
    <t>المتطلبات التشغيلية العامة</t>
  </si>
  <si>
    <t>هل تلتزم الشركة بعدم البدء بتشغيل المنشأة قبل الحصول على الترخيص ؟</t>
  </si>
  <si>
    <t xml:space="preserve">ممارسة نشاط دون الحصول على ترخيص بلدي </t>
  </si>
  <si>
    <t>1/1/1</t>
  </si>
  <si>
    <t>هل تلتزم المنشأة بعدم ممارسة نشاط مخالف لما تم الترخيص له؟</t>
  </si>
  <si>
    <t>ممارسة نشاط مخالف لما تم الترخيص له</t>
  </si>
  <si>
    <t>1/1/3</t>
  </si>
  <si>
    <t xml:space="preserve"> هل تلتزم المنشأة بممارسة النشاط التجاري برخصة سارية وغير منتهية؟</t>
  </si>
  <si>
    <t>ممارسة النشاط بعد انتهاء الرخصة</t>
  </si>
  <si>
    <t>1/1/2</t>
  </si>
  <si>
    <t>هل تلتزم المنشأة بعدم ممارسة أي أنشطة إضافية غير مرخصة؟</t>
  </si>
  <si>
    <t>مزاولة نشاط إضافي غير مضاف على الرخصة</t>
  </si>
  <si>
    <t>ممارسة النشاط خارج نطاق الترخيص أو استخدام الأرصفة العامة أو مناطق الارتداد في الأعمال الخاصة بالمحل / المنشأة  أو استخدام وسائل الدعاية المتحركة أو الثابتة مقابل المحل (بدون ترخيص اشغال رصيف)</t>
  </si>
  <si>
    <t>1/1/12</t>
  </si>
  <si>
    <t>هل تلتزم المنشأة بعدم إعادة فتح المنشأة أو استئناف ممارسة النشاط من دون الحصول على موافقة رسمية من الأمانة/البلدية؟</t>
  </si>
  <si>
    <t>إعادة فتح المحل / المنشأة قبل انتهاء عقوبة الإغلاق النظامية التي حددتها البلدية</t>
  </si>
  <si>
    <t>1/7/1</t>
  </si>
  <si>
    <t>في حالة إغلاق المنشأة، هل تلتزم المنشأة بعدم نزع أو تغطية ملصق الإغلاق الإلزامي المفروض من قبل الأمانة/البلدية؟</t>
  </si>
  <si>
    <t>نزع أو تغطية اللوحة أو الملصق الذي يوضع على المحل / المنشأة والذي يدل على أن المحل / المنشأة أغلق من قبل البلدية</t>
  </si>
  <si>
    <t>1/7/2</t>
  </si>
  <si>
    <t>هل تلتزم المنشأة بخلو واجهة المحل/المنشأة من الملصقات فيما عدا الملصقات المستثناة التالية:
1- ملصقات الدخول والخروج
2- أوقات العمل
3- طرق الدفع الالكتروني
4- رمز الاستجابة السريع QR
5- الملصلقات المطلوبة من الجهات الحكومية  الأخرى</t>
  </si>
  <si>
    <t>التشوه البصري</t>
  </si>
  <si>
    <t xml:space="preserve">وجود ملصقات على الواجهة غير مرخصة باستثناء طريقة الدخول والخروج وأوقات العمل وملصقات طرق الدفع الالكترونية وملصق رمز (QR) </t>
  </si>
  <si>
    <t>1/1/8</t>
  </si>
  <si>
    <t>إقامة لوحة أو ملصق دعائي أو إعلاني بدون ترخيص</t>
  </si>
  <si>
    <t>6/1</t>
  </si>
  <si>
    <t>هل تلتزم المنشأة بعدم وضع لافتات تحذيرية أو أي وسيلة أخرى لمنع الوقوف أمام المحل/المنشأة أو في المواقف العامة؟</t>
  </si>
  <si>
    <t>وضع لافتات تحذيرية أو أي وسيلة كانت لمنع الوقوف أمام المحلات والمواقف العامة</t>
  </si>
  <si>
    <t>1/7/5</t>
  </si>
  <si>
    <t>هل تلتزم المنشأة بعدم إغلاق المواقف المعتمدة في رخصة البناء للمحل/المبنى التي تكون جزء من مبنى قائم؟</t>
  </si>
  <si>
    <t xml:space="preserve">إغلاق المواقف المعتمدة في رخصة البناء للمحلات التجارية </t>
  </si>
  <si>
    <t>1/7/6</t>
  </si>
  <si>
    <t>هل تلتزم المنشأة بعدم استخدام أجهزة الوشم (التاتو) او أي أجهزة تعمل بتقنية الليزر والوخز بالإبر؟</t>
  </si>
  <si>
    <t>هل تلتزم المنشأة بعدم السماح بدخول النساء داخل المحل/المنشأة ويستثنى من ذلك مساعدة ذوي الاحتياجات الخاصة وكبار السن والاطفال وحالات الطوارئ؟</t>
  </si>
  <si>
    <t>هل تلتزم المنشأة بعدم تقديم الخدمات المنزلية (خدمة خارج الصالون) إلا بعد الحصول على التصريح المخصص لذلك (منصة بلدي)؟</t>
  </si>
  <si>
    <t>هل تلتزم المنشأة  توفير مرايا لكل كرسي خدمة وتكون خالية من الكسور والتشققات؟</t>
  </si>
  <si>
    <t>في حال تقديم خدمة العناية بالأيدي والقدمين هل تلتزم المنشأة  توفير أحواض لغسل الأيدي والأقدام سواء كانت متحركة او ثابتة؟</t>
  </si>
  <si>
    <t>عند تقديم خدمة إزالة القمل، يجب توفير امشاط ذات استخدام لمرة واحدة وسلة مهملات (إغلاق ذاتي).</t>
  </si>
  <si>
    <t>متطلبات اللوحات الداخلية</t>
  </si>
  <si>
    <t>يجب أن توضع اللوحات الداخلية والملصقات التالية:</t>
  </si>
  <si>
    <t>عدم وجود أو إبراز او وضوح رمز (QR)  خاص بالرخصة في مكان ظاهر يكون الوصول له متاحا عند إغلاق المحل أو المنشأة وان يكون بحالة سليمة</t>
  </si>
  <si>
    <t>1/1/9</t>
  </si>
  <si>
    <t>متطلبات الكاميرات الأمنية</t>
  </si>
  <si>
    <t>هل تلتزم المنشأة بتركيب كاميرات أمنية طبقاً لمواصفات ومتطلبات نظام استخدام كاميرات المراقبة الأمنية؟</t>
  </si>
  <si>
    <t>متطلبات الأمن والسلامة</t>
  </si>
  <si>
    <t>1/3/28</t>
  </si>
  <si>
    <t>متطلبات الصيانة العامة</t>
  </si>
  <si>
    <t>عدم صيانة أو إصلاح اللوحات التجارية التالفة</t>
  </si>
  <si>
    <t>1/2/4</t>
  </si>
  <si>
    <t xml:space="preserve">وجود عيوب في زجاج الواجهة (الخدوش، أو اللحامات، أو الثقوب، أو أي عيوب أخرى </t>
  </si>
  <si>
    <t>1/3/5</t>
  </si>
  <si>
    <t>النظافة العامة</t>
  </si>
  <si>
    <t xml:space="preserve">عدم صيانة الأرضيات أو الجدران أو الأسقف </t>
  </si>
  <si>
    <t>1/3/3</t>
  </si>
  <si>
    <t xml:space="preserve">تسرب أو تساقط المياه من أجهزة التكييف أو الثلاجات أو تمديدات البخار أو تجميع المياه في أوعية مكشوفة </t>
  </si>
  <si>
    <t>1/6/9</t>
  </si>
  <si>
    <t xml:space="preserve">عدم صيانة التجهيزات والأدوات أو عدم إزالة التالف </t>
  </si>
  <si>
    <t>1/3/24</t>
  </si>
  <si>
    <t xml:space="preserve">عدم صيانة تمديدات المياه، أو الصرف الصحي، أو الكهرباء، أو الغاز  </t>
  </si>
  <si>
    <t>1/3/12</t>
  </si>
  <si>
    <t>متطلبات النظافة العامة</t>
  </si>
  <si>
    <t xml:space="preserve"> هل تلتزم المنشأة بالصيانة الدورية لمكونات المبنى التالية والتأكد من خلوها من الأوساخ والأتربة المتراكمة أو البقع الصعبة:
1- الأرضيات
2- الاسقف
3- الجدران
4- اللوحات التجارية
5- الواجهات الخارجية والأرصفة</t>
  </si>
  <si>
    <t xml:space="preserve">تدني مستوى النظافة العامة للأرضيات، أو الجدران، أو الأسقف، أو الواجهة، أو الرصيف سواءً من الداخل أو الخارج </t>
  </si>
  <si>
    <t>1/6/1</t>
  </si>
  <si>
    <t>هل تلتزم المنشأة بمتطلبات النفايات التالية:
1- تزويد النفايات بأكياس بلاستيكية
2- التخلص من النفايات بشكل منتظم</t>
  </si>
  <si>
    <t>1/6/6</t>
  </si>
  <si>
    <t>هل تلتزم المنشأة بعدم وضع النفايات خارج الأوعية أو الحاويات الخاصة بها؟</t>
  </si>
  <si>
    <t>1/6/7</t>
  </si>
  <si>
    <t xml:space="preserve"> هل تلتزم المنشأة بمتطلبات الصحة العامة ومكافحة الآفات التالية: 
1. عدم وجود قوارض داخل المنشأة.
2. عدم وجود حشرات داخل المنشأة. 
3. عدم وجود آفات صحة عامة أو مخلفاتها داخل المنشأة.</t>
  </si>
  <si>
    <t>وجود قوارض، أو حشرات، أو آفات الصحة العامة، أو مخلفاتها داخل المحل / المنشأة</t>
  </si>
  <si>
    <t>1/6/3</t>
  </si>
  <si>
    <t>هل تضمن المنشأة عدم تراكم الغبار على مصادر الآتية:
1. النوافذ
2. مصادر الإضاءة
3. منافذ التهوية؟</t>
  </si>
  <si>
    <t>تراكم الأتربة على النوافذ أو مصادر الإضاءة والتهوية</t>
  </si>
  <si>
    <t>1/6/2</t>
  </si>
  <si>
    <t>هل تلتزم المنشأة بعدم وجود أي تسرب أو طفح لمياه الصرف الصحي في المبنى/المحل؟</t>
  </si>
  <si>
    <t>تسرب أو طفح مياه الصرف الصحي داخل المحل / المنشأة</t>
  </si>
  <si>
    <t>1/6/10</t>
  </si>
  <si>
    <t>أي مخالفة لمتطلبات النظافة التي لم تحدد لها عقوبة معينة</t>
  </si>
  <si>
    <t>هل تلتزم المنشأة  تنظيف وتطهير وتعقيم الادوات بعد كل استخدام؟</t>
  </si>
  <si>
    <t>هل تلتزم المنشأة   بنظافة منطقة غسيل الشعر ومنطقة الاستحمام على ان تكون خالية من بقايا الشعر ومستحضرات العناية (شامبو- صابون سائل)؟</t>
  </si>
  <si>
    <t>هل تلتزم المنشأة  تنظيف وتعقيم جميع أقسام وتجهيزات المحل بشكل دوري؟</t>
  </si>
  <si>
    <t>هل تلتزم المنشأة حفظ المنظّفات والمطهّرات والأدوات المستخدمة في خزائن مخصصة لها على أن تكون نظيفة.؟</t>
  </si>
  <si>
    <t>متطلبات الصحة العامة</t>
  </si>
  <si>
    <t>هل تلتزم المنشأة  الاحتفاظ بسجل الرقابة الصحية ما عدا المناطق التي تطبق نظام الرقابة الصحية الإلكترونية؟</t>
  </si>
  <si>
    <t>هل تلتزم المنشأة بعدم تصنيع وبيع الخلطات لأغراض تجميلية أو طبية. ويستثنى من ذلك استخدام الحناء والسدر وطين الغسول المغربي في الحمام المغربي؟</t>
  </si>
  <si>
    <t>هل تلتزم المنشأة بعدم استخدام الشبة باستثناء أعواد الشبة ذات الاستخدام الواحد؟</t>
  </si>
  <si>
    <t>هل تلتزم المنشأة  التزام العاملين بالممارسات الصحية السليمة مثل: ( ارتداء الكمامات ,ارتداء القفازات ، تعقيم اليدين).اثناء ممارسة العمل وقبل البدء بتقديم الخدمة؟</t>
  </si>
  <si>
    <t>هل تلتزم المنشأة بعدم حفظ وتخزين الأغراض الشخصية للعاملين في أماكن العمل أو الخدمة وإنما توضع في امكان مخصصة لها.؟</t>
  </si>
  <si>
    <t>هل تلتزم المنشأة  عمل اختبار تحسس على منطقة صغيرة من الجلد قبل البدء باستخدام صبغة الشعر او صبغة الحواجب او الرموش حسب التعليمات المرفقة مع المنتج؟</t>
  </si>
  <si>
    <t>متطلبات نظافة دورات المياه والمغاسل والمصليات</t>
  </si>
  <si>
    <t>1/4/1</t>
  </si>
  <si>
    <t>1/4/2</t>
  </si>
  <si>
    <t>عدم توفير صابون الأيدي</t>
  </si>
  <si>
    <t>1/4/3</t>
  </si>
  <si>
    <t>عدم توفير المناشف الورقية أو أجهزة التجفيف</t>
  </si>
  <si>
    <t>1/4/4</t>
  </si>
  <si>
    <t>متطلبات الدفع الإلكتروني</t>
  </si>
  <si>
    <t>هل توفّر المنشأة وسائل دفع إلكترونية صالحة وجاهزة للاستخدام؟</t>
  </si>
  <si>
    <t>عدم توفير وسائل الدفع الالكتروني صالحة وجاهزة للاستخدام</t>
  </si>
  <si>
    <t>8/2/1</t>
  </si>
  <si>
    <t>الامتناع عن استخدام وسائل الدفع الالكتروني</t>
  </si>
  <si>
    <t>8/2/3</t>
  </si>
  <si>
    <t>عدم وضع ملصق لخيارات الدفع الالكتروني المتوفرة</t>
  </si>
  <si>
    <t>8/2/2</t>
  </si>
  <si>
    <t>متطلبات العاملين</t>
  </si>
  <si>
    <t>مخالفات العاملين</t>
  </si>
  <si>
    <t>1/5/11</t>
  </si>
  <si>
    <t>أي مخالفة لمتطلبات العاملين في المحلات/ المنشآت التجارية لم يرد لها عقوبة</t>
  </si>
  <si>
    <t>1/5/18</t>
  </si>
  <si>
    <t xml:space="preserve"> هل تلتزم المنشأة بإيقاف العامل عن العمل عند ظهور أي أعراض مرضية؟</t>
  </si>
  <si>
    <t xml:space="preserve">تدخين العاملين في المواقع غير المسموحة </t>
  </si>
  <si>
    <t>1/5/16</t>
  </si>
  <si>
    <t>أن يكون النشاط ضمن المباني التجارية أو مباني الاستخدام المختلط، ويسمح بالأكشاك داخل المجمعات التجارية والمرافق الحكومية.
يكون المركز ضمن دور أرضي أو أرضي وميزانين ويستثنى من ذلك أن يكون ضمن الأدوار المتكررة في المباني التجارية، والمجمعات التجارية، ومرافق الإيواء السياحي المصنفة أربعة نجوم أو أكثر، أو ما يعادلها.
يسمح أن يكون النشاط في المناطق المسموح بها وفق الأنظمة والتعليمات الصادرة في هذا الشأن.</t>
  </si>
  <si>
    <t>يكون موقع النشاط على شارع مخصص للاستخدام التجاري حسب المخططات ووثائق البناء المعتمدة.</t>
  </si>
  <si>
    <t xml:space="preserve">لا تقل مساحة الحلاقة عن 16م2
يسمح بالمحال داخل المنطقة المركزية للحرمين الشريفين(9م2) </t>
  </si>
  <si>
    <t xml:space="preserve">أن يكون النشاط ضمن المباني التجارية أو مباني الاستخدام المختلط، ويسمح بالأكشاك داخل المجمعات التجارية والمرافق الحكومية.
يكون المركز ضمن دور أرضي أو أرضي وميزانين ويستثنى من ذلك أن يكون ضمن الأدوار المتكررة في المباني التجارية، والمجمعات التجارية، ومرافق الإيواء السياحي المصنفة أربعة نجوم أو أكثر، أو ما يعادلها.
يسمح أن يكون النشاط في المناطق المسموح بها وفق الأنظمة والتعليمات الصادرة في هذا الشأن.
</t>
  </si>
  <si>
    <t>لا تقل مساحة الحلاقة عن 40م2</t>
  </si>
  <si>
    <t>تشجير محيط الموقع والمواقف كحد أدنى بحيث:
أن تكون من الأشجار الظلية.
 ألا تكون معيقة لحركة المشاة. 
ألا تكون ذات روائح نفاثة.
يحق للأمانه/ البلدية تخصيص الأشجار المناسبة لهوية المدينة.</t>
  </si>
  <si>
    <t>يجب أن يكون تصميم مكونات واجهة المحل/المنشأة وفقاً للكود العمراني للمنطقة التي يقع بها النشاط وفي حال عدم وجوده، يكون تصميم الواجهة وفقاً لما تم اعتماده في الترخيص الصادر من الأمانة/البلدية.</t>
  </si>
  <si>
    <t>يمنع تركيب الأسلاك الكهربائية والأنابيب الصحية وغيرها من تمديدات الخدمة ووحدات التكييف الخارجية على واجهة المبنى أو بشكل ظاهر على السطح.</t>
  </si>
  <si>
    <t>يجب تركيب ستائر هوائية على مدخل المحل/المنشأة ويجب تشغيلها خلال أوقات العمل.</t>
  </si>
  <si>
    <t>يجب الالتزام بتحقيق متطلبات الأشخاص ذوي الإعاقة طبقاً للفصل (1009) والباب (11) من كود البناء السعودي (SBC 201) وحسب دليل معايير الوصول الشامل للمنشآت.</t>
  </si>
  <si>
    <t>يجب أن يكون الدرج الخارجي للمحل / المنشأة. مصنوعاً من مواد آمنة ومقاومة للانزلاق وشديدة التحمل، کالجرانيت والرخام المعالج والطلاء الخشن بمادة الإيبوكسي والسيراميك والبورسلين وما يماثلهم من مواد أخرى.</t>
  </si>
  <si>
    <t xml:space="preserve">يجب توفير منحدر الأشخاص ذوي الإعاقة في حدود المحل/المنشأة، ويستثنى من ذلك المحلات/ المنشئات المتواجدة في مباني توفر متطلبات للأشخاص ذوي الإعاقة. </t>
  </si>
  <si>
    <t>يجب أن يكون الدرج والمنحدر ضمن حدود  المحل/المنشأة .</t>
  </si>
  <si>
    <t>يجب أن يخلو الدرج والأرصفة الخارجية ومنحدر الأشخاص ذوي الإعاقة من أي تركيبات أو معدات تعيق دخول المحل/المنشأة أو الخروج منه/منها أو الإخلاء السريع في حالات الحوادث أو الطوارئ أو الإصابات.</t>
  </si>
  <si>
    <t>يجب الالتزام بالميول المسموح بها - حسب معايير الوصول الشامل للمنشآت- لمنحدر الرصيف للأشخاص ذوي الإعاقة .</t>
  </si>
  <si>
    <t>في حال تقديم خدمة إزالة القمل يجب ان تكون جدران الغرفة من (الطوب، الجبس المستعار، الزجاج ).</t>
  </si>
  <si>
    <t>يجب تشطيب الأرضيات بمواد ملائمة لنوع النشاط بما لا يتعارض مع المواد الواردة في كود البناء السعودي العام (SBC 201).</t>
  </si>
  <si>
    <t xml:space="preserve"> يجب أن تكون جميع فتحات التصريف وخزانات المياه والصرف الصحي وغرف التفتيش محكمة الإغلاق.</t>
  </si>
  <si>
    <t>يجب أن يكون السقف مصنوعاً من مواد مقاومة للحريق ولا تتأثر بالرطوبة لضمان عدم إيواء الحشرات والقوارض.</t>
  </si>
  <si>
    <t>يجب تزويد المحل/المنشأة ومرافقه بما فيها المخزن بوسائل ومعدات إضاءة وفقاً للمواصفات القياسية المعتمدة.</t>
  </si>
  <si>
    <t>هل التزمت المنشأة بتركيب ستائر هوائية على مدخل المحل/المنشأة؟  في حال الإجابة بنعم، هل التزمت المنشأة بتشغيلها خلال أوقات العمل؟</t>
  </si>
  <si>
    <t>هل تلتزم المنشأة بعدم استخدام  إنارة غير غازية داخل وخارج المحل/المبنى؟</t>
  </si>
  <si>
    <t xml:space="preserve"> هل تلتزم المنشأة بالتأكد من كفاءة توزيع الضوء وتغطيته لجميع مساحات المنشأة بما فيها المخزن</t>
  </si>
  <si>
    <t>هل تلتزم المنشأة  أن تكون جميع منتجات ومستحضرات التجميل  مطابقة لما ورد في اللائحة التنفيذية لنظام التجميل الصادرة من  الهيئة العامة للغذاء والدواء؟</t>
  </si>
  <si>
    <t>هل تلتزم المنشأة بعدم استخدام المنتجات مجهولة المصدر أو المنتجات التي تحتوي على مواد دوائية ويجب الالتزام بتعليمات سلامة منتجات التجميل الصادرة عن الهيئة العامة للغذاء والدواء</t>
  </si>
  <si>
    <t>هل تلتزم المنشأة بعدم تقديم الخدمة للنساء؟</t>
  </si>
  <si>
    <t>هل تلتزم المنشأة  تجهيز المحل بعدد (1) كحد أدنى من كراسي الخدمة ؟</t>
  </si>
  <si>
    <t>في حال وجود أكثر من كرسي خدمة بالمنشأة،  هل تلتزم المنشأة بتوفير مسافة فاصلة بين الكرسي والاخر لاتقل عن 1.5 متر؟</t>
  </si>
  <si>
    <t>هل تلتزم المنشأة  بتوفير مياه باردة وساخنة في مغاسل الشعر؟</t>
  </si>
  <si>
    <t xml:space="preserve">هل تلتزم المنشأة  بتوفير جهاز تعقيم واحد على الأقل  داخل المنشأة / المحل؟ </t>
  </si>
  <si>
    <t>هل تلتزم المنشأة  توفير حاويات نفايات خطرة مزودة بأغطية ذاتية الغلق خاصة بالأدوات الحادة والمواد الكيميائية مثل الامواس والصبغات ؟</t>
  </si>
  <si>
    <t>هل تلتزم المنشأة  التأكد من تاريخ الصلاحية المدون على عبوات المنتجات، وفي حال فتح عبوة المنتج يجب وضع ملصق يدون عليه "يدويا او الكترونيا" تاريخ فتح العبوة ( للمنتجات ذات مدة صلاحية محدودة من تاريخ فتح العبوة)؟</t>
  </si>
  <si>
    <t>هل تلتزم المنشأة بعدم يمنع تكدس البضائع داخل المحل/ المنشأة بشكل عشوائي؟</t>
  </si>
  <si>
    <t>هل تلتزم المنشأة بتخزين المناشف و الملاءات والأدوات في الأرفف والأدراج المخصصة لذلك؟</t>
  </si>
  <si>
    <t>هل تلتزم المنشأة  بأن تكون الأرفف والأدراج داخل المنشأة/ المحل مصنوعة من مواد معدنية وقابلة للغسيل ومقاومة للصدأ؟</t>
  </si>
  <si>
    <t>هل تلتزم المنشأة بتوفير قفازات مطاطية لليدين؟</t>
  </si>
  <si>
    <t>هل تلتزم المنشأة بعدم القيام بأي تغيير فيما يدون بسجل الرقابة الصحية من بيانات سواء بالكشط، أو المحو، أو الإزالة، أو بأي طريقة أخرى؟</t>
  </si>
  <si>
    <t>هل تلتزم المنشأة  امتناع العاملين عن الممارسات الصحية الخاطئة مثل:( لمس الانف، لمس الفم) اثناء ممارسة العمل؟</t>
  </si>
  <si>
    <t>هل تلتزم المنشأة بتوفير الأدوات ذات الاستخدام الواحد مثل:شفرة بلاستيكية للحلاقة، رداء (مريلة)،، مسحة طبية ؟</t>
  </si>
  <si>
    <t>منخفض</t>
  </si>
  <si>
    <t>الاشتراطات المكانية</t>
  </si>
  <si>
    <t>هل تلتزم المنشأة بعدم ممارسة نشاط إضافي غير متجانس بدون ترخيص؟</t>
  </si>
  <si>
    <t>1/1/4</t>
  </si>
  <si>
    <t>يجب التقيد بمتطلبات اللوحات التجارية أدناه حسب نطاق تطبيقها:
1. مراعاة الكود العمراني للمنطقة التي يقع فيها النشاط؟
2. مراعاة الدليل التنظيمي الصادر من الأمانة التي يقع في نطاقها النشاط؟
3. في حال عدم وجود أي من السابق، هل يتم الالتزام بالدليل الإرشادي للوحات التجارية الصادر عن وزارة الشؤون البلدية والقروية والإسكان؟</t>
  </si>
  <si>
    <t>اشتراطات اللوحات التجارية</t>
  </si>
  <si>
    <t>في حال إلغاء الترخيص، هل قامت المنشأة بإزالة اللوحات التجارية؟
هل تم تسليم الموقع بحالة جيدة؟
هل تم إعادة الموقع إلى حالته الأصلية قبل تركيب اللوحات؟</t>
  </si>
  <si>
    <t>1/2/3</t>
  </si>
  <si>
    <t>هل التزمت المنشأة بمتطلبات الواجهة الزجاجية ؟
1- أن تكون الواجهة مصنوعة من الزجاج الشفاف السيكوريت وما في حكمه.
2- أن تكون سماكة الزجاج  المستخدم لا تقل عن 12 ملم.
3- ألّا يقل عرض الأبواب المفردة عن 90 سم.
4- ألّا يقل عرض الأبواب المزدوجة 160 سم.</t>
  </si>
  <si>
    <t>هل تلتزم المنشأة بعدم تركيب الأسلاك الكهربائية والأنابيب الصحية وغيرها من تمديدات الخدمة على واجهة مبنى المنشأة أو بشكل ظاهر على السطح؟</t>
  </si>
  <si>
    <t>4/4/9</t>
  </si>
  <si>
    <t>هل تلتزم المنشأة بعدم تركيب وحدات التكييف الخارجية على واجهة مبنى المنشأة أو بشكل ظاهر على السطح؟</t>
  </si>
  <si>
    <t>وجود وحدات تكييف منفصلة في الواجهات المطلة على الشارع. (الشوارع التجارية)</t>
  </si>
  <si>
    <t>4/4/10</t>
  </si>
  <si>
    <t xml:space="preserve">عدم وجود ستائر هوائية أو بلاستيكية عند الأبواب أوعدم تشغيلها في الأنشطة المتعلقة بالصحة العامة وفق الاشتراطات </t>
  </si>
  <si>
    <t>هل تلتزم المنشأة بمتطلبات الأشخاص ذوي الإعاقة حسب دليل معايير الوصول الشامل للمنشآت؟</t>
  </si>
  <si>
    <t xml:space="preserve">عدم تطبيق اشتراطات دليل الوصول الشامل لذوي الإعاقة </t>
  </si>
  <si>
    <t>إنشاء أو تعديل درج خارجي أو داخلي غير مطابق للمواصفات والاشتراطات</t>
  </si>
  <si>
    <r>
      <t>هل تلتزم المنشأة بمتطلبات الأسقف التالية:
1. السقف مصنوع من مواد مقاومة للحريق.
2</t>
    </r>
    <r>
      <rPr>
        <sz val="12"/>
        <color theme="1"/>
        <rFont val="Sakkal Majalla"/>
      </rPr>
      <t>. مواد السقف لا تتأثر بالرطوبة.
3. التصميم يضمن منع إيواء الحشرات والقوارض.</t>
    </r>
  </si>
  <si>
    <t>هل تلتزم المنشأة بعدم استخدام الأرصفة العامة ومناطق الارتداد لممارسة أي نوع من الأنشطة ؟</t>
  </si>
  <si>
    <t>في حال وجود لوحات أو ملصقات إعلانية على واجة المحل، هل تلتزم المنشأة بمتطلبات اللوحات الدعائية والإعلانية؟</t>
  </si>
  <si>
    <t>هل تلتزم المنشأة بتوفير صندوق الإسعافات الأولية؟</t>
  </si>
  <si>
    <t>مخالفة اشتراطات وضوابط الأمن والسلامة</t>
  </si>
  <si>
    <t xml:space="preserve">أي مخالفة للمتطلبات المبنى والتجهيزات التي لم يحدد لها عقوبة معينة </t>
  </si>
  <si>
    <t>متوسط</t>
  </si>
  <si>
    <t>مخالفة الشروط الفنية المطلوبة في الأجهزة او المعدات اوالادوات او الاواني ،او عدم توفير المطلوب منها للعمل.</t>
  </si>
  <si>
    <t>هل تلتزم المنشأة  أن تكون مغاسل الأيدي مُجهّزة بمياه ساخنة وباردة ؟</t>
  </si>
  <si>
    <t>هل تلتزم المنشأة  أن تكون مغاسل الأيدي مُجهّزة صابون سائل ومطهّر؟</t>
  </si>
  <si>
    <t>هل تلتزم المنشأة  أن تكون مغاسل الأيدي مُجهّزة  بمناشف ورقية عالية الامتصاص أو مجفّفات بالهواء الساخن أو كليهما؟</t>
  </si>
  <si>
    <t>هل تلتزم المنشأة  بتوفير مصيدة للحشرات والقوارض واحدة على الأقل داخل المنشأة؟ وفي حال نعم هل تلتزم بتشغيها على مدار الساعه؟  في حال نعم هل تلتزم بصيانتها ونظافتها؟</t>
  </si>
  <si>
    <t xml:space="preserve">عدم توفير مصائد حشرية وفق الاشتراطات أو عدم تشغيلها على مدار الساعة أو عدم صيانتها ونظافتها </t>
  </si>
  <si>
    <t xml:space="preserve">عدم توفير الوسائل المناسبة لتعقيم الأدوات والمعدات وفقاً لإشتراطات النشاط ومطابقة للمواصفات </t>
  </si>
  <si>
    <t>هل تلتزم المنشأة  ان تكون أدوات قص الشعر مصنوعة من مواد غير قابلة للصدأ ؟</t>
  </si>
  <si>
    <t xml:space="preserve">عدم توفير الأدوات أوالتجهزات وفق المواصفات او اشتراطات النشاط </t>
  </si>
  <si>
    <t xml:space="preserve">هل تلتزم المنشأة  تعقيم وتنظيف أدوات العناية بالأظافر بعد كل استخدام؟ </t>
  </si>
  <si>
    <t xml:space="preserve">عدم تنظيف الأجهزة أو الأدوات أو الأواني في الأنشطة المتعلقة بالصحة العامة </t>
  </si>
  <si>
    <t xml:space="preserve">مخالفة اشتراطات المياه المستخدمة في ممارسات الصحة العامة </t>
  </si>
  <si>
    <t>عند تقديم خدمة إزالة الشعر بالشمع هل تلتزم المنشأة  باستخدام الاعواد الخشبية ذات الاستخدام الواحد؟</t>
  </si>
  <si>
    <t>عند تقديم خدمة إزالة الشعر بالشمع هل تلتزم المنشأة  بالمحافظة على نظافة جهاز تسخين الشمع ؟</t>
  </si>
  <si>
    <t>عند تقديم خدمة إزالة الشعر بالشمع هل تلتزم المنشأة  بعدم النفخ على الشمع عن طريق الفم؟</t>
  </si>
  <si>
    <t>أي مخالفة لمتطلبات النظافة لم تحدد لها عقوبة معينة</t>
  </si>
  <si>
    <t xml:space="preserve">عدم توفير أوعية نفايات مطابقة للاشتراطات </t>
  </si>
  <si>
    <t xml:space="preserve">عدم حفظ الأدوات أو عدم توفير وسائل حفظها وفق الاشتراطات </t>
  </si>
  <si>
    <t>مخالفة اشتراطات النشاط الخاصة بكاميرات المراقبة</t>
  </si>
  <si>
    <t>هل تلتزم المنشأة بسلامة الرمز الالكتروني الموحد QR وخلوه من العيوب؟</t>
  </si>
  <si>
    <t xml:space="preserve">
هل تلتزم المنشأة بعرض  الرمز الإلكتروني الموحد QR على واجهة المحل/المنشأة (ملصق، لوحة)  ؟</t>
  </si>
  <si>
    <t>عدم تزويد أوعية النفايات بأكياس بلاستيكية وفق الاشتراطات</t>
  </si>
  <si>
    <t>تراكم النفايات أو عدم التخلص منها أولاً بأول أو عدم نظافة حاوية النفايات أو مخالفة اشتراطات النظافة العامة داخل المحل / المنشأة أو الإهمال في تأمين أدواتها</t>
  </si>
  <si>
    <t>هل تضمن المنشأة عدم تجاوز النفايات لسعة الحاوية؟</t>
  </si>
  <si>
    <t>هل تلتزم المنشأة  أن يكون الأثاث المستخدم خالي من الكسور والتشققات والبقع؟</t>
  </si>
  <si>
    <t>هل تلتزم المنشأة بتنظيف بقايا الشعر والنفايات بشكل دوري؟</t>
  </si>
  <si>
    <t>هل تلتزم المنشأة  بلتأكد من أن الادوات المستخدمة لمرة واحدة تستخدم لمره واحدة فقط؟</t>
  </si>
  <si>
    <t>استعمال الأدواتت المخصصة لاستخدام المره واحدة  اكثر من مره</t>
  </si>
  <si>
    <t>عدم توفير أوعية نفايات مغطاة تفتح بالقدم أو ذاتية الفتح</t>
  </si>
  <si>
    <t>هل تضمن المنشأة عدم استخدام المحل/المبنى لسكن العاملين ؟</t>
  </si>
  <si>
    <t>عدم التقيد بالزي الخاص بالعمل حسب الاشتراطات</t>
  </si>
  <si>
    <t>عدم مطابقة اللوحة لبيانات الترخيص</t>
  </si>
  <si>
    <t>1/2/1</t>
  </si>
  <si>
    <t xml:space="preserve"> عدم إزالة اللوحات التجارية بعد الغاء الترخيص وتسليم الموقع بحاله جيده وإعادة الوضع لما كان عليه قبل التركيب</t>
  </si>
  <si>
    <t xml:space="preserve">وجود تمديدات (كهربائية- صحية - ميكانيكية ) ظاهرة بالواجهة الأمامية للمبنى( الشوارع التجارية) </t>
  </si>
  <si>
    <t>هل تلتزم المنشأة بأن يكون الدرج الخارجي للمبنى مصنوعاً من مواد آمنة ومقاومة للانزلاق وشديدة التحمل (كالجرانيت -الرخام المعالج-الطلاء الخشن بمادة الإيبوكسي -السراميك- البورسلين ومايماثلهم من مواد أخرى ؟</t>
  </si>
  <si>
    <t>هل تلتزم المنشأة بتوفير منحدر للأشخاص ذوي الإعاقة في حدود المنشأة ويستثنى من ذلك المحلات المتواجدة في مباني توفر متطلبات للأشخاص ذوي الإعاقة ؟</t>
  </si>
  <si>
    <t>هل تلتزم المنشأة بأن يخلو الدرج والأرصفة الخارجية ومنحدر للأشخاص ذوي الإعاقة من أي تركيبات أومعدات تعيق دخول المبنى أو الخروج منة أو الإخلاء السريع في حالات الحوادث أو الطوارئ أو الإصابات؟</t>
  </si>
  <si>
    <t>إنشاء أو تعديل درج خارجي أو داخلي غير مطابق للمواصفات والأشتراطات</t>
  </si>
  <si>
    <t>هل تلتزم المنشأة  بالميول المسموح به حسب معايير الوصول الشامل للمنشآت لمنحدر الرصيف للأشخاص ذوي الإعاقة ؟</t>
  </si>
  <si>
    <t>هل تلتزم المنشأة بعرض كافة أسعار الخدمات المقدمة في مكان ظاهر للمستفيد  تحديثها في حالة تغيرت الأسعار؟</t>
  </si>
  <si>
    <t>في حال تقديم خدمة الحلاقة للأطفال هل تلتزم المنشأة توفير مقعد حلاقة خاص بالأطفال (ثابت) او اضافة قطعة خاصة للأطفال ملحقة بكرسي الحلاقة الأساسي(متحرك)؟</t>
  </si>
  <si>
    <t>هل تلتزم المنشأة بعدم استخدام الأجهزة ذات الاستخدام الطبي؟</t>
  </si>
  <si>
    <t>ضبط او استخدام أجهزة طبية في مواقع غير مرخصة لذلك</t>
  </si>
  <si>
    <t>هل تلتزم المنشأة بعدم استخدام أجهزة التسمير (التان) التي تعمل بالأشعة فوق البنفسجية.</t>
  </si>
  <si>
    <t>هل تلتزم المنشأة  بتوفير منطقة انتظار العملاء مُزوّدة بمقاعد انتظار ويستثنى من ذلك الاكشاك في المجمعات التجارية ، و المحلات/ المنشآت التي تقع في المشاعر المقدسة و المنطقة المركزية للحرمين الشريفين.؟</t>
  </si>
  <si>
    <t>عدم توفر أماكن مخصصة للانتظار وفق الاشتراطات</t>
  </si>
  <si>
    <t>1/3/27</t>
  </si>
  <si>
    <t>هل تضمن المنشأة الالتزام بالمعايير التالية لصيانة اللوحات؟
1- اللوحات خالية من التشققات
2- اللوحات خالية من الكسور
3- اللوحات تعمل بشكل سليم وبدون أعطال</t>
  </si>
  <si>
    <t xml:space="preserve"> هل تضمن المنشأة الالتزام بالمعايير التالية لصيانة الواجهات؟
1. الواجهات خالية من العيوب.
2. الواجهات خالية من الكسور.
3. الشروخ، إن وجدت، ليست كبيرة بما يكفي لتسبب التشوه البصري.</t>
  </si>
  <si>
    <t>هل تضمن المنشأة الالتزام بالمعايير التالية لصيانة الجدران؟
1. خلو الجدران من الملصقات. 
2. عدم وجود عيوب. 
3. عدم وجود تشققات كبيرة مرئية أو شروخ تؤدي إلى التشوه البصري.</t>
  </si>
  <si>
    <t>هل تضمن المنشأة الالتزام بالمعايير التالية لصيانة الارضيات؟
1. الأرضيات خالية من الملصقات. 
2. الأرضيات خالية من العيوب. 
3. عدم وجود تشققات كبيرة مرئية أو شروخ تؤدي إلى التشوه البصري.</t>
  </si>
  <si>
    <t xml:space="preserve"> هل تلتزم المنشأة بالمتطلبات التالية لأجهزة التكييف؟
1. يتم صيانتها بانتظام
2. أنها تعمل بفعالية
3. التمديدات آمنة
4. عدم وجود تسريبات
5. لا يتم تجميع المياه في أوعية مكشوفة</t>
  </si>
  <si>
    <t xml:space="preserve"> هل تلتزم المنشأة بالمتطلبات التالية لصيانة مصادر الإضاءة؟
1. يتم صيانتها بانتظام
2. عدم وجود مصابيح معطلة أو مكسورة
</t>
  </si>
  <si>
    <t xml:space="preserve"> هل تلتزم المنشأة بالمتطلبات التالية لصيانة تمديدات (الغاز، الصرف الصحي، الأسلاك الكهربائية)؟
1. يتم صيانتها بانتظام
2. تغطيتها بشكل مناسب في المناطق الداخلية للمبنى
3- سلامة التمديدات
</t>
  </si>
  <si>
    <t xml:space="preserve"> هل تضمن المنشأة أن جميع العاملين يرتدون  الملابس الخارجية حسب المتطلبات التالية؟
1- ملابس نظيفة
2- زي موحد للعاملين حسب مهنهم 
3- عرض اسم المنشأة على الملابس</t>
  </si>
  <si>
    <t>هل تضمن المنشأة تقيّد جميع العاملين بالمحافظة على النضافة الشخصية؟</t>
  </si>
  <si>
    <t>تدني مستوى النظافة الشخصية للعاملين وفق الاشتراطات في الأنشطة المتعلقة بالصحة العامة</t>
  </si>
  <si>
    <t xml:space="preserve">وجود عمال تظهر عليهم أعراض مرضية أو بهم جروح أو بثور في الأنشطة المتعلقة بالصحة العامة </t>
  </si>
  <si>
    <t>هل تضمن المنشأة عدم التدخين في المحل/المبنى (عدا في الأماكن المخصصة لهذا الغرض)؟</t>
  </si>
  <si>
    <t xml:space="preserve"> هل تلتزم المنشأة بمتطلبات شهادات العاملين التالية؟
1. الشهادة الصحية للعاملين في الأنشطة المتعلقة بالصحة العامة.
2. الشهادة المهنية للعاملون في الأنشطة التي تتطلب شهادة مهنية</t>
  </si>
  <si>
    <t>عالي</t>
  </si>
  <si>
    <t>تشغيل العاملين بدون إصدار الشهادة الصحية في الأنشطة المتعلقة بالصحة العامة
مخالفة متطلبات ممارسة الأعمال التخصصية التي تتطلب شهادة تخصص في المهنة أو الحرفة</t>
  </si>
  <si>
    <t>هل تضمن المنشأة ان يقتصر العمل في المحل على النساء فقط؟</t>
  </si>
  <si>
    <t>هل تضمن المنشأة تخصيص زي موحد للعاملات داخل صالون التزيين النسائيي وفقاً للمهنة ؟</t>
  </si>
  <si>
    <t>هل تضمن المنشأة حصول العاملات في مجال التزيين النسائي (المكياج) على شهادة صحية؟</t>
  </si>
  <si>
    <t>تشغيل العاملين بدون إصدار شهادة صحية موحدة في المدن المفعل فيها  التثقيف الصحي</t>
  </si>
  <si>
    <t>هل تضمن المنشأة أن تكون مديرة المحل سعودية الجنسية ويقتصر عملها على إدارة المحل/المنشأة فقط؟</t>
  </si>
  <si>
    <t>أي مخالفة لاشتراطات  العاملين في المحلات/ المنشآت التجارية لم يرد لها عقوبة</t>
  </si>
  <si>
    <t>هل تلتزم المنشأة بان يكون العاملين بالممارسات الصحية السليمة مثل: ( ارتداء الكمامات ,ارتداء القفازات ، تعقيم اليدين).اثناء ممارسة العمل وقبل البدء بتقديم الخدمة؟</t>
  </si>
  <si>
    <t>هل تلتزم المنشأة امتناع العاملين عن الممارسات الصحية الخاطئة مثل: (لمس الانف، لمس الفم, البصق, ...) اثناء ممارسة العمل؟</t>
  </si>
  <si>
    <r>
      <t>ممارسة العاملين العادات الصحية الخاطئة اثناء العمل (لمس الأنف والفم، التمخط، البصق .... )</t>
    </r>
    <r>
      <rPr>
        <sz val="10"/>
        <color theme="1"/>
        <rFont val="Sakkal Majalla"/>
        <charset val="178"/>
      </rPr>
      <t xml:space="preserve"> </t>
    </r>
    <r>
      <rPr>
        <sz val="10"/>
        <color rgb="FF000000"/>
        <rFont val="Sakkal Majalla"/>
        <charset val="178"/>
      </rPr>
      <t>حسب الاشتراطات</t>
    </r>
    <r>
      <rPr>
        <sz val="10"/>
        <color theme="1"/>
        <rFont val="Sakkal Majalla"/>
        <charset val="178"/>
      </rPr>
      <t xml:space="preserve"> في الأنشطة المتعلقة بالصحة العامة</t>
    </r>
  </si>
  <si>
    <t>1/5/6</t>
  </si>
  <si>
    <t>1/5/10</t>
  </si>
  <si>
    <t>1/5/1
1/5/17</t>
  </si>
  <si>
    <t>1/5/5</t>
  </si>
  <si>
    <t>1/5/13</t>
  </si>
  <si>
    <t>هل تلتزم المنشأة بقبول الدفع النقدي والإلكتروني على حد سواء؟</t>
  </si>
  <si>
    <t>هل تلتزم المنشأة بعرض مصلق خيارات الدفع الالكتروني على واجهة المحل/ المنشأة  أو داخل المبنى؟</t>
  </si>
  <si>
    <t xml:space="preserve">هل تلتزم المنشأة بمتطلبات نظافة المرافق التالية؟
1- دورات المياه
2- المغاسل
3- المصليات
</t>
  </si>
  <si>
    <t xml:space="preserve">مخالفة مواصفات ومتطلبات دورات المياه ومغاسل الأيدي </t>
  </si>
  <si>
    <t>هل تقوم المنشأة بالالتزام بتنظيف المرافق بشكل دوري؟</t>
  </si>
  <si>
    <t>تدني مستوى النظافة العامة في دورات المياه وفق المتطلبات في الأنشطة المتعلقة بالصحة العامة</t>
  </si>
  <si>
    <t>هل توفّر المنشأة صابون الأيدي في المرافق الصحية؟</t>
  </si>
  <si>
    <t>هل توفّر المنشأة مناشف ورقية أو أجهزة تجفيف في المرافق الصحية؟</t>
  </si>
  <si>
    <t>هل توفّر المنشأة أوعية نفايات ذاتية الفتح أو تفتح بالقدم في المرافق الصحية؟</t>
  </si>
  <si>
    <t>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</si>
</sst>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d/yy;@"/>
  </numFmts>
  <fonts count="16">
    <font>
      <sz val="11"/>
      <color rgb="FF000000"/>
      <name val="Calibri"/>
      <charset val="134"/>
    </font>
    <font>
      <sz val="11"/>
      <color theme="1"/>
      <name val="Calibri"/>
      <family val="2"/>
      <scheme val="minor"/>
    </font>
    <font>
      <sz val="12"/>
      <color rgb="FF000000"/>
      <name val="Calibri"/>
      <family val="2"/>
    </font>
    <font>
      <sz val="12"/>
      <color rgb="FF000000"/>
      <name val="Cairo"/>
    </font>
    <font>
      <b/>
      <sz val="12"/>
      <color rgb="FFFFFFFF"/>
      <name val="Cairo"/>
    </font>
    <font>
      <sz val="12"/>
      <color rgb="FFFFFFFF"/>
      <name val="Cairo"/>
    </font>
    <font>
      <sz val="12"/>
      <color rgb="FF000000"/>
      <name val="Sakkal Majalla"/>
    </font>
    <font>
      <sz val="8"/>
      <name val="Calibri"/>
      <family val="2"/>
    </font>
    <font>
      <sz val="12"/>
      <color rgb="FF000000"/>
      <name val="Sakkal Majalla"/>
    </font>
    <font>
      <sz val="12"/>
      <color theme="1"/>
      <name val="Sakkal Majalla"/>
    </font>
    <font>
      <sz val="11"/>
      <color rgb="FF000000"/>
      <name val="Calibri"/>
      <charset val="134"/>
    </font>
    <font>
      <sz val="12"/>
      <color rgb="FF000000"/>
      <name val="Sakkal Majalla"/>
      <charset val="178"/>
    </font>
    <font>
      <sz val="12"/>
      <color theme="1"/>
      <name val="Sakkal Majalla"/>
      <charset val="178"/>
    </font>
    <font>
      <sz val="12"/>
      <name val="Sakkal Majalla"/>
      <charset val="178"/>
    </font>
    <font>
      <sz val="10"/>
      <color theme="1"/>
      <name val="Sakkal Majalla"/>
      <charset val="178"/>
    </font>
    <font>
      <sz val="10"/>
      <color rgb="FF000000"/>
      <name val="Sakkal Majalla"/>
      <charset val="178"/>
    </font>
  </fonts>
  <fills count="4">
    <fill>
      <patternFill patternType="none"/>
    </fill>
    <fill>
      <patternFill patternType="gray125"/>
    </fill>
    <fill>
      <patternFill patternType="solid">
        <fgColor rgb="FF007367"/>
        <bgColor rgb="FF007367"/>
      </patternFill>
    </fill>
    <fill>
      <patternFill patternType="solid">
        <fgColor rgb="FFFFF2CC"/>
        <bgColor indexed="64"/>
      </patternFill>
    </fill>
  </fills>
  <borders count="14">
    <border>
      <left/>
      <right/>
      <top/>
      <bottom/>
      <diagonal/>
    </border>
    <border>
      <left style="thin">
        <color rgb="FF007367"/>
      </left>
      <right/>
      <top style="thin">
        <color rgb="FF007367"/>
      </top>
      <bottom style="thin">
        <color rgb="FF007367"/>
      </bottom>
      <diagonal/>
    </border>
    <border>
      <left/>
      <right/>
      <top style="thin">
        <color rgb="FF007367"/>
      </top>
      <bottom style="thin">
        <color rgb="FF007367"/>
      </bottom>
      <diagonal/>
    </border>
    <border>
      <left/>
      <right style="thin">
        <color rgb="FF007367"/>
      </right>
      <top style="thin">
        <color rgb="FF007367"/>
      </top>
      <bottom style="thin">
        <color rgb="FF007367"/>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rgb="FF007367"/>
      </left>
      <right style="thin">
        <color rgb="FF007367"/>
      </right>
      <top style="thin">
        <color rgb="FF007367"/>
      </top>
      <bottom style="thin">
        <color rgb="FF007367"/>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9847407452621"/>
      </left>
      <right style="thin">
        <color theme="0" tint="-0.14999847407452621"/>
      </right>
      <top style="thin">
        <color theme="0" tint="-0.14999847407452621"/>
      </top>
      <bottom style="thin">
        <color rgb="FF007367"/>
      </bottom>
      <diagonal/>
    </border>
    <border>
      <left style="thin">
        <color theme="0" tint="-0.14999847407452621"/>
      </left>
      <right style="thin">
        <color theme="0" tint="-0.14999847407452621"/>
      </right>
      <top style="thin">
        <color theme="0" tint="-0.14999847407452621"/>
      </top>
      <bottom/>
      <diagonal/>
    </border>
  </borders>
  <cellStyleXfs count="3">
    <xf numFmtId="0" fontId="0" fillId="0" borderId="0"/>
    <xf numFmtId="0" fontId="1" fillId="0" borderId="0"/>
    <xf numFmtId="43" fontId="10" fillId="0" borderId="0" applyFont="0" applyFill="0" applyBorder="0" applyAlignment="0" applyProtection="0"/>
  </cellStyleXfs>
  <cellXfs count="62">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2" xfId="0" applyFont="1" applyFill="1" applyBorder="1" applyAlignment="1">
      <alignment vertical="center" wrapText="1"/>
    </xf>
    <xf numFmtId="0" fontId="5" fillId="2" borderId="3" xfId="0" applyFont="1" applyFill="1" applyBorder="1" applyAlignment="1">
      <alignment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3" fillId="0" borderId="5" xfId="0" applyFont="1" applyBorder="1" applyAlignment="1">
      <alignment horizontal="center" vertical="center"/>
    </xf>
    <xf numFmtId="49" fontId="6" fillId="0" borderId="0" xfId="0" applyNumberFormat="1" applyFont="1" applyAlignment="1">
      <alignment horizontal="center" vertical="center" wrapText="1" readingOrder="2"/>
    </xf>
    <xf numFmtId="0" fontId="5" fillId="2" borderId="7" xfId="0" applyFont="1" applyFill="1" applyBorder="1" applyAlignment="1">
      <alignment horizontal="center" vertical="center" wrapText="1"/>
    </xf>
    <xf numFmtId="0" fontId="5" fillId="2" borderId="7" xfId="0" applyFont="1" applyFill="1" applyBorder="1" applyAlignment="1">
      <alignment vertical="center" wrapText="1"/>
    </xf>
    <xf numFmtId="0" fontId="2" fillId="0" borderId="0" xfId="0" applyFont="1" applyAlignment="1">
      <alignment horizontal="center" vertical="center" wrapText="1"/>
    </xf>
    <xf numFmtId="0" fontId="0" fillId="0" borderId="0" xfId="0" applyAlignment="1">
      <alignment horizontal="right" vertical="top" wrapText="1"/>
    </xf>
    <xf numFmtId="0" fontId="6" fillId="0" borderId="0" xfId="0" applyFont="1" applyAlignment="1">
      <alignment horizontal="center" vertical="center"/>
    </xf>
    <xf numFmtId="0" fontId="6" fillId="0" borderId="0" xfId="0" applyFont="1" applyAlignment="1">
      <alignment horizontal="center" vertical="center" wrapText="1"/>
    </xf>
    <xf numFmtId="49" fontId="6" fillId="0" borderId="0" xfId="0" applyNumberFormat="1" applyFont="1" applyAlignment="1">
      <alignment horizontal="center" vertical="center" wrapText="1"/>
    </xf>
    <xf numFmtId="0" fontId="4" fillId="2" borderId="0" xfId="0" applyFont="1" applyFill="1" applyAlignment="1">
      <alignment horizontal="right" vertical="center" wrapText="1"/>
    </xf>
    <xf numFmtId="0" fontId="6" fillId="3" borderId="4" xfId="0" applyFont="1" applyFill="1" applyBorder="1" applyAlignment="1">
      <alignment horizontal="center" vertical="center" wrapText="1"/>
    </xf>
    <xf numFmtId="0" fontId="6" fillId="0" borderId="8" xfId="0" applyFont="1" applyBorder="1" applyAlignment="1">
      <alignment horizontal="center" vertical="center"/>
    </xf>
    <xf numFmtId="0" fontId="8" fillId="0" borderId="9" xfId="0" applyFont="1" applyBorder="1" applyAlignment="1">
      <alignment horizontal="center" vertical="center" wrapText="1"/>
    </xf>
    <xf numFmtId="0" fontId="6" fillId="0" borderId="10" xfId="0" applyFont="1" applyBorder="1" applyAlignment="1">
      <alignment horizontal="center" vertical="center" wrapText="1" readingOrder="2"/>
    </xf>
    <xf numFmtId="0" fontId="6" fillId="0" borderId="11" xfId="0" applyFont="1" applyBorder="1" applyAlignment="1">
      <alignment horizontal="center" vertical="center" wrapText="1" readingOrder="2"/>
    </xf>
    <xf numFmtId="0" fontId="6" fillId="0" borderId="8" xfId="0" applyFont="1" applyBorder="1" applyAlignment="1">
      <alignment horizontal="center" vertical="center" wrapText="1"/>
    </xf>
    <xf numFmtId="49" fontId="6" fillId="0" borderId="8" xfId="0" applyNumberFormat="1" applyFont="1" applyBorder="1" applyAlignment="1">
      <alignment horizontal="center" vertical="center" wrapText="1" readingOrder="2"/>
    </xf>
    <xf numFmtId="0" fontId="6" fillId="0" borderId="8" xfId="0" applyFont="1" applyBorder="1" applyAlignment="1">
      <alignment horizontal="center" vertical="center" wrapText="1" readingOrder="2"/>
    </xf>
    <xf numFmtId="0" fontId="6" fillId="0" borderId="4" xfId="0" applyFont="1" applyFill="1" applyBorder="1" applyAlignment="1">
      <alignment horizontal="center" vertical="center" wrapText="1"/>
    </xf>
    <xf numFmtId="0" fontId="2" fillId="0" borderId="0" xfId="0" applyFont="1" applyFill="1" applyAlignment="1">
      <alignment horizontal="center" vertical="center"/>
    </xf>
    <xf numFmtId="0" fontId="6" fillId="0" borderId="12" xfId="0" applyFont="1" applyBorder="1" applyAlignment="1">
      <alignment horizontal="center" vertical="center" wrapText="1"/>
    </xf>
    <xf numFmtId="164" fontId="6" fillId="0" borderId="12" xfId="0" applyNumberFormat="1" applyFont="1" applyBorder="1" applyAlignment="1">
      <alignment horizontal="center" vertical="center" wrapText="1"/>
    </xf>
    <xf numFmtId="0" fontId="6" fillId="0" borderId="13" xfId="0" applyFont="1" applyBorder="1" applyAlignment="1">
      <alignment horizontal="center" vertical="center" wrapText="1"/>
    </xf>
    <xf numFmtId="0" fontId="6" fillId="0" borderId="12" xfId="0" applyFont="1" applyFill="1" applyBorder="1" applyAlignment="1">
      <alignment horizontal="center" vertical="center" wrapText="1"/>
    </xf>
    <xf numFmtId="0" fontId="2" fillId="0" borderId="0" xfId="0" applyFont="1" applyFill="1" applyAlignment="1">
      <alignment horizontal="center" vertical="center" wrapText="1"/>
    </xf>
    <xf numFmtId="0" fontId="0" fillId="0" borderId="0" xfId="0" applyFill="1"/>
    <xf numFmtId="164" fontId="6" fillId="0" borderId="12" xfId="0" applyNumberFormat="1" applyFont="1" applyFill="1" applyBorder="1" applyAlignment="1">
      <alignment horizontal="center" vertical="center" wrapText="1"/>
    </xf>
    <xf numFmtId="164" fontId="6" fillId="0" borderId="4" xfId="0" applyNumberFormat="1" applyFont="1" applyFill="1" applyBorder="1" applyAlignment="1">
      <alignment horizontal="center" vertical="center" wrapText="1"/>
    </xf>
    <xf numFmtId="164" fontId="6" fillId="0" borderId="4" xfId="0" applyNumberFormat="1" applyFont="1" applyBorder="1" applyAlignment="1">
      <alignment horizontal="center" vertical="center" wrapText="1"/>
    </xf>
    <xf numFmtId="164" fontId="6" fillId="0" borderId="13" xfId="0" applyNumberFormat="1" applyFont="1" applyBorder="1" applyAlignment="1">
      <alignment horizontal="center" vertical="center" wrapText="1"/>
    </xf>
    <xf numFmtId="0" fontId="6" fillId="0" borderId="0" xfId="0" applyFont="1" applyFill="1" applyBorder="1" applyAlignment="1">
      <alignment horizontal="center" vertical="center" wrapText="1"/>
    </xf>
    <xf numFmtId="49" fontId="6" fillId="0" borderId="8" xfId="2" applyNumberFormat="1" applyFont="1" applyBorder="1" applyAlignment="1">
      <alignment horizontal="center" vertical="center" wrapText="1" readingOrder="2"/>
    </xf>
    <xf numFmtId="0" fontId="6" fillId="0" borderId="8" xfId="0" applyFont="1" applyBorder="1" applyAlignment="1">
      <alignment horizontal="center" vertical="top" wrapText="1"/>
    </xf>
    <xf numFmtId="0" fontId="6" fillId="0" borderId="8" xfId="0" applyFont="1" applyBorder="1" applyAlignment="1">
      <alignment horizontal="center" vertical="top" wrapText="1" readingOrder="2"/>
    </xf>
    <xf numFmtId="164" fontId="6" fillId="0" borderId="8" xfId="0" applyNumberFormat="1" applyFont="1" applyBorder="1" applyAlignment="1">
      <alignment horizontal="center" vertical="center" wrapText="1"/>
    </xf>
    <xf numFmtId="0" fontId="6" fillId="0" borderId="8" xfId="0" applyFont="1" applyFill="1" applyBorder="1" applyAlignment="1">
      <alignment horizontal="center" vertical="center"/>
    </xf>
    <xf numFmtId="0" fontId="6" fillId="0" borderId="8" xfId="0" applyFont="1" applyFill="1" applyBorder="1" applyAlignment="1">
      <alignment horizontal="center" vertical="center" wrapText="1"/>
    </xf>
    <xf numFmtId="0" fontId="6" fillId="0" borderId="8" xfId="0" applyFont="1" applyFill="1" applyBorder="1" applyAlignment="1">
      <alignment horizontal="center" vertical="center" wrapText="1" readingOrder="2"/>
    </xf>
    <xf numFmtId="0" fontId="9" fillId="0" borderId="8" xfId="0" applyFont="1" applyBorder="1" applyAlignment="1">
      <alignment horizontal="center" vertical="top" wrapText="1"/>
    </xf>
    <xf numFmtId="0" fontId="4" fillId="2" borderId="0" xfId="0" applyFont="1" applyFill="1" applyAlignment="1">
      <alignment horizontal="right" vertical="center" wrapText="1"/>
    </xf>
    <xf numFmtId="0" fontId="11" fillId="0" borderId="8" xfId="0" applyFont="1" applyBorder="1" applyAlignment="1">
      <alignment horizontal="center" vertical="center" wrapText="1"/>
    </xf>
    <xf numFmtId="0" fontId="11" fillId="0" borderId="8" xfId="0" applyFont="1" applyBorder="1" applyAlignment="1">
      <alignment horizontal="center" vertical="center" wrapText="1" readingOrder="2"/>
    </xf>
    <xf numFmtId="49" fontId="12" fillId="0" borderId="8" xfId="0" applyNumberFormat="1" applyFont="1" applyBorder="1" applyAlignment="1">
      <alignment horizontal="center" vertical="center" wrapText="1"/>
    </xf>
    <xf numFmtId="49" fontId="13" fillId="0" borderId="8" xfId="0" applyNumberFormat="1" applyFont="1" applyBorder="1" applyAlignment="1">
      <alignment horizontal="center" vertical="center" wrapText="1" readingOrder="2"/>
    </xf>
    <xf numFmtId="0" fontId="11" fillId="0" borderId="8"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8" xfId="0" applyFont="1" applyBorder="1" applyAlignment="1">
      <alignment horizontal="center" vertical="center" wrapText="1"/>
    </xf>
    <xf numFmtId="0" fontId="11" fillId="0" borderId="8" xfId="0" applyFont="1" applyFill="1" applyBorder="1" applyAlignment="1">
      <alignment horizontal="center" vertical="center" wrapText="1" readingOrder="2"/>
    </xf>
    <xf numFmtId="49" fontId="12" fillId="0" borderId="8" xfId="0" applyNumberFormat="1" applyFont="1" applyFill="1" applyBorder="1" applyAlignment="1">
      <alignment horizontal="center" vertical="center" wrapText="1" readingOrder="2"/>
    </xf>
    <xf numFmtId="49" fontId="11" fillId="0" borderId="8" xfId="0" applyNumberFormat="1" applyFont="1" applyFill="1" applyBorder="1" applyAlignment="1">
      <alignment horizontal="center" vertical="center" wrapText="1" readingOrder="2"/>
    </xf>
    <xf numFmtId="49" fontId="11" fillId="0" borderId="8" xfId="0" applyNumberFormat="1" applyFont="1" applyBorder="1" applyAlignment="1">
      <alignment horizontal="center" vertical="center" wrapText="1" readingOrder="2"/>
    </xf>
  </cellXfs>
  <cellStyles count="3">
    <cellStyle name="Comma" xfId="2" builtinId="3"/>
    <cellStyle name="Normal" xfId="0" builtinId="0"/>
    <cellStyle name="Normal 3" xfId="1" xr:uid="{00000000-0005-0000-0000-000001000000}"/>
  </cellStyles>
  <dxfs count="0"/>
  <tableStyles count="0" defaultTableStyle="TableStyleMedium2"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6</xdr:col>
      <xdr:colOff>71718</xdr:colOff>
      <xdr:row>2</xdr:row>
      <xdr:rowOff>8965</xdr:rowOff>
    </xdr:to>
    <xdr:sp macro="" textlink="">
      <xdr:nvSpPr>
        <xdr:cNvPr id="2" name="Rectangle 1">
          <a:extLst>
            <a:ext uri="{FF2B5EF4-FFF2-40B4-BE49-F238E27FC236}">
              <a16:creationId xmlns:a16="http://schemas.microsoft.com/office/drawing/2014/main" id="{41038294-4D19-4905-AB5D-0C979542D615}"/>
            </a:ext>
          </a:extLst>
        </xdr:cNvPr>
        <xdr:cNvSpPr/>
      </xdr:nvSpPr>
      <xdr:spPr>
        <a:xfrm>
          <a:off x="19580262" y="333375"/>
          <a:ext cx="4698963" cy="334720"/>
        </a:xfrm>
        <a:prstGeom prst="rect">
          <a:avLst/>
        </a:prstGeom>
        <a:gradFill flip="none" rotWithShape="1">
          <a:gsLst>
            <a:gs pos="0">
              <a:srgbClr val="007367">
                <a:shade val="30000"/>
                <a:satMod val="115000"/>
              </a:srgbClr>
            </a:gs>
            <a:gs pos="50000">
              <a:srgbClr val="006156"/>
            </a:gs>
            <a:gs pos="100000">
              <a:schemeClr val="bg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SA" sz="1400" b="1"/>
            <a:t>قائمة التفحص للمتطلبات المكانية </a:t>
          </a:r>
          <a:endParaRPr lang="en-US" sz="1400" b="1"/>
        </a:p>
      </xdr:txBody>
    </xdr:sp>
    <xdr:clientData/>
  </xdr:twoCellAnchor>
  <xdr:twoCellAnchor>
    <xdr:from>
      <xdr:col>0</xdr:col>
      <xdr:colOff>147918</xdr:colOff>
      <xdr:row>24</xdr:row>
      <xdr:rowOff>141514</xdr:rowOff>
    </xdr:from>
    <xdr:to>
      <xdr:col>6</xdr:col>
      <xdr:colOff>34579</xdr:colOff>
      <xdr:row>26</xdr:row>
      <xdr:rowOff>52508</xdr:rowOff>
    </xdr:to>
    <xdr:sp macro="" textlink="">
      <xdr:nvSpPr>
        <xdr:cNvPr id="3" name="Rectangle 2">
          <a:extLst>
            <a:ext uri="{FF2B5EF4-FFF2-40B4-BE49-F238E27FC236}">
              <a16:creationId xmlns:a16="http://schemas.microsoft.com/office/drawing/2014/main" id="{1B293A5D-CEE2-403B-ABBC-F65F90D54C86}"/>
            </a:ext>
          </a:extLst>
        </xdr:cNvPr>
        <xdr:cNvSpPr/>
      </xdr:nvSpPr>
      <xdr:spPr>
        <a:xfrm>
          <a:off x="19615496" y="4578259"/>
          <a:ext cx="4698691" cy="326284"/>
        </a:xfrm>
        <a:prstGeom prst="rect">
          <a:avLst/>
        </a:prstGeom>
        <a:gradFill flip="none" rotWithShape="1">
          <a:gsLst>
            <a:gs pos="0">
              <a:srgbClr val="007367">
                <a:shade val="30000"/>
                <a:satMod val="115000"/>
              </a:srgbClr>
            </a:gs>
            <a:gs pos="50000">
              <a:srgbClr val="006156"/>
            </a:gs>
            <a:gs pos="100000">
              <a:schemeClr val="bg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SA" sz="1400" b="1"/>
            <a:t>قائمة التفحص متطلبات الترخيص  </a:t>
          </a:r>
          <a:endParaRPr lang="en-US" sz="1400" b="1"/>
        </a:p>
      </xdr:txBody>
    </xdr:sp>
    <xdr:clientData/>
  </xdr:twoCellAnchor>
  <xdr:twoCellAnchor>
    <xdr:from>
      <xdr:col>0</xdr:col>
      <xdr:colOff>163286</xdr:colOff>
      <xdr:row>31</xdr:row>
      <xdr:rowOff>119742</xdr:rowOff>
    </xdr:from>
    <xdr:to>
      <xdr:col>6</xdr:col>
      <xdr:colOff>49947</xdr:colOff>
      <xdr:row>33</xdr:row>
      <xdr:rowOff>63393</xdr:rowOff>
    </xdr:to>
    <xdr:sp macro="" textlink="">
      <xdr:nvSpPr>
        <xdr:cNvPr id="4" name="Rectangle 3">
          <a:extLst>
            <a:ext uri="{FF2B5EF4-FFF2-40B4-BE49-F238E27FC236}">
              <a16:creationId xmlns:a16="http://schemas.microsoft.com/office/drawing/2014/main" id="{287776B2-1CD2-4436-A247-827885236447}"/>
            </a:ext>
          </a:extLst>
        </xdr:cNvPr>
        <xdr:cNvSpPr/>
      </xdr:nvSpPr>
      <xdr:spPr>
        <a:xfrm>
          <a:off x="19596318" y="15190197"/>
          <a:ext cx="4698691" cy="452286"/>
        </a:xfrm>
        <a:prstGeom prst="rect">
          <a:avLst/>
        </a:prstGeom>
        <a:gradFill flip="none" rotWithShape="1">
          <a:gsLst>
            <a:gs pos="0">
              <a:srgbClr val="007367">
                <a:shade val="30000"/>
                <a:satMod val="115000"/>
              </a:srgbClr>
            </a:gs>
            <a:gs pos="50000">
              <a:srgbClr val="006156"/>
            </a:gs>
            <a:gs pos="100000">
              <a:schemeClr val="bg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SA" sz="1400" b="1"/>
            <a:t>قائمة التفحص للمتطلبات التشغيلية </a:t>
          </a:r>
          <a:endParaRPr lang="en-US" sz="1400" b="1"/>
        </a:p>
      </xdr:txBody>
    </xdr:sp>
    <xdr:clientData/>
  </xdr:twoCellAnchor>
  <xdr:twoCellAnchor>
    <xdr:from>
      <xdr:col>6</xdr:col>
      <xdr:colOff>1442812</xdr:colOff>
      <xdr:row>0</xdr:row>
      <xdr:rowOff>0</xdr:rowOff>
    </xdr:from>
    <xdr:to>
      <xdr:col>7</xdr:col>
      <xdr:colOff>0</xdr:colOff>
      <xdr:row>0</xdr:row>
      <xdr:rowOff>321929</xdr:rowOff>
    </xdr:to>
    <xdr:sp macro="" textlink="">
      <xdr:nvSpPr>
        <xdr:cNvPr id="5" name="Rectangle 4">
          <a:extLst>
            <a:ext uri="{FF2B5EF4-FFF2-40B4-BE49-F238E27FC236}">
              <a16:creationId xmlns:a16="http://schemas.microsoft.com/office/drawing/2014/main" id="{8DD3208F-6EE3-9789-ADD3-D2EE02DCB9A1}"/>
            </a:ext>
          </a:extLst>
        </xdr:cNvPr>
        <xdr:cNvSpPr/>
      </xdr:nvSpPr>
      <xdr:spPr>
        <a:xfrm>
          <a:off x="13810289" y="0"/>
          <a:ext cx="4790221" cy="321929"/>
        </a:xfrm>
        <a:prstGeom prst="rect">
          <a:avLst/>
        </a:prstGeom>
        <a:gradFill flip="none" rotWithShape="1">
          <a:gsLst>
            <a:gs pos="0">
              <a:srgbClr val="007367">
                <a:shade val="30000"/>
                <a:satMod val="115000"/>
              </a:srgbClr>
            </a:gs>
            <a:gs pos="50000">
              <a:srgbClr val="006156"/>
            </a:gs>
            <a:gs pos="100000">
              <a:schemeClr val="bg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400" b="1"/>
            <a:t>نشاط الحلاقة الرجالية</a:t>
          </a:r>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71718</xdr:colOff>
      <xdr:row>2</xdr:row>
      <xdr:rowOff>8965</xdr:rowOff>
    </xdr:to>
    <xdr:sp macro="" textlink="">
      <xdr:nvSpPr>
        <xdr:cNvPr id="2" name="Rectangle 1">
          <a:extLst>
            <a:ext uri="{FF2B5EF4-FFF2-40B4-BE49-F238E27FC236}">
              <a16:creationId xmlns:a16="http://schemas.microsoft.com/office/drawing/2014/main" id="{EA27DE69-2CDA-4C63-B689-F25F1A232492}"/>
            </a:ext>
          </a:extLst>
        </xdr:cNvPr>
        <xdr:cNvSpPr/>
      </xdr:nvSpPr>
      <xdr:spPr>
        <a:xfrm>
          <a:off x="19943482" y="333375"/>
          <a:ext cx="4783418" cy="326465"/>
        </a:xfrm>
        <a:prstGeom prst="rect">
          <a:avLst/>
        </a:prstGeom>
        <a:gradFill flip="none" rotWithShape="1">
          <a:gsLst>
            <a:gs pos="0">
              <a:srgbClr val="007367">
                <a:shade val="30000"/>
                <a:satMod val="115000"/>
              </a:srgbClr>
            </a:gs>
            <a:gs pos="50000">
              <a:srgbClr val="006156"/>
            </a:gs>
            <a:gs pos="100000">
              <a:schemeClr val="bg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SA" sz="1400" b="1"/>
            <a:t>قائمة التفحص للمتطلبات المكانية </a:t>
          </a:r>
          <a:endParaRPr lang="en-US" sz="1400" b="1"/>
        </a:p>
      </xdr:txBody>
    </xdr:sp>
    <xdr:clientData/>
  </xdr:twoCellAnchor>
  <xdr:twoCellAnchor>
    <xdr:from>
      <xdr:col>0</xdr:col>
      <xdr:colOff>147918</xdr:colOff>
      <xdr:row>7</xdr:row>
      <xdr:rowOff>141514</xdr:rowOff>
    </xdr:from>
    <xdr:to>
      <xdr:col>4</xdr:col>
      <xdr:colOff>34579</xdr:colOff>
      <xdr:row>9</xdr:row>
      <xdr:rowOff>52508</xdr:rowOff>
    </xdr:to>
    <xdr:sp macro="" textlink="">
      <xdr:nvSpPr>
        <xdr:cNvPr id="3" name="Rectangle 2">
          <a:extLst>
            <a:ext uri="{FF2B5EF4-FFF2-40B4-BE49-F238E27FC236}">
              <a16:creationId xmlns:a16="http://schemas.microsoft.com/office/drawing/2014/main" id="{C5A3CA21-91AD-4CE6-AC22-D0095B9AF653}"/>
            </a:ext>
          </a:extLst>
        </xdr:cNvPr>
        <xdr:cNvSpPr/>
      </xdr:nvSpPr>
      <xdr:spPr>
        <a:xfrm>
          <a:off x="19980621" y="5373914"/>
          <a:ext cx="4782511" cy="314219"/>
        </a:xfrm>
        <a:prstGeom prst="rect">
          <a:avLst/>
        </a:prstGeom>
        <a:gradFill flip="none" rotWithShape="1">
          <a:gsLst>
            <a:gs pos="0">
              <a:srgbClr val="007367">
                <a:shade val="30000"/>
                <a:satMod val="115000"/>
              </a:srgbClr>
            </a:gs>
            <a:gs pos="50000">
              <a:srgbClr val="006156"/>
            </a:gs>
            <a:gs pos="100000">
              <a:schemeClr val="bg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SA" sz="1400" b="1"/>
            <a:t>قائمة التفحص للمتطلبات الفنية </a:t>
          </a:r>
          <a:endParaRPr lang="en-US" sz="1400" b="1"/>
        </a:p>
      </xdr:txBody>
    </xdr:sp>
    <xdr:clientData/>
  </xdr:twoCellAnchor>
  <xdr:twoCellAnchor>
    <xdr:from>
      <xdr:col>0</xdr:col>
      <xdr:colOff>163286</xdr:colOff>
      <xdr:row>26</xdr:row>
      <xdr:rowOff>0</xdr:rowOff>
    </xdr:from>
    <xdr:to>
      <xdr:col>4</xdr:col>
      <xdr:colOff>49947</xdr:colOff>
      <xdr:row>27</xdr:row>
      <xdr:rowOff>63393</xdr:rowOff>
    </xdr:to>
    <xdr:sp macro="" textlink="">
      <xdr:nvSpPr>
        <xdr:cNvPr id="4" name="Rectangle 3">
          <a:extLst>
            <a:ext uri="{FF2B5EF4-FFF2-40B4-BE49-F238E27FC236}">
              <a16:creationId xmlns:a16="http://schemas.microsoft.com/office/drawing/2014/main" id="{2019499A-4D0C-4D14-B059-5A266211F120}"/>
            </a:ext>
          </a:extLst>
        </xdr:cNvPr>
        <xdr:cNvSpPr/>
      </xdr:nvSpPr>
      <xdr:spPr>
        <a:xfrm>
          <a:off x="19965253" y="12562567"/>
          <a:ext cx="4782511" cy="458001"/>
        </a:xfrm>
        <a:prstGeom prst="rect">
          <a:avLst/>
        </a:prstGeom>
        <a:gradFill flip="none" rotWithShape="1">
          <a:gsLst>
            <a:gs pos="0">
              <a:srgbClr val="007367">
                <a:shade val="30000"/>
                <a:satMod val="115000"/>
              </a:srgbClr>
            </a:gs>
            <a:gs pos="50000">
              <a:srgbClr val="006156"/>
            </a:gs>
            <a:gs pos="100000">
              <a:schemeClr val="bg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SA" sz="1400" b="1"/>
            <a:t>قائمة التفحص للمتطلبات التشغيلية </a:t>
          </a:r>
          <a:endParaRPr lang="en-US" sz="1400" b="1"/>
        </a:p>
      </xdr:txBody>
    </xdr:sp>
    <xdr:clientData/>
  </xdr:twoCellAnchor>
  <xdr:twoCellAnchor>
    <xdr:from>
      <xdr:col>4</xdr:col>
      <xdr:colOff>1442812</xdr:colOff>
      <xdr:row>0</xdr:row>
      <xdr:rowOff>0</xdr:rowOff>
    </xdr:from>
    <xdr:to>
      <xdr:col>5</xdr:col>
      <xdr:colOff>0</xdr:colOff>
      <xdr:row>0</xdr:row>
      <xdr:rowOff>321929</xdr:rowOff>
    </xdr:to>
    <xdr:sp macro="" textlink="">
      <xdr:nvSpPr>
        <xdr:cNvPr id="5" name="Rectangle 4">
          <a:extLst>
            <a:ext uri="{FF2B5EF4-FFF2-40B4-BE49-F238E27FC236}">
              <a16:creationId xmlns:a16="http://schemas.microsoft.com/office/drawing/2014/main" id="{3752B446-D670-4ECC-9742-08818B2D5425}"/>
            </a:ext>
          </a:extLst>
        </xdr:cNvPr>
        <xdr:cNvSpPr/>
      </xdr:nvSpPr>
      <xdr:spPr>
        <a:xfrm>
          <a:off x="13782621" y="0"/>
          <a:ext cx="4789767" cy="321929"/>
        </a:xfrm>
        <a:prstGeom prst="rect">
          <a:avLst/>
        </a:prstGeom>
        <a:gradFill flip="none" rotWithShape="1">
          <a:gsLst>
            <a:gs pos="0">
              <a:srgbClr val="007367">
                <a:shade val="30000"/>
                <a:satMod val="115000"/>
              </a:srgbClr>
            </a:gs>
            <a:gs pos="50000">
              <a:srgbClr val="006156"/>
            </a:gs>
            <a:gs pos="100000">
              <a:schemeClr val="bg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400" b="1"/>
            <a:t>نشاط الحلاقة الرجالية</a:t>
          </a:r>
          <a:endParaRPr lang="en-US" sz="14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1578;&#1581;&#1583;&#1610;&#1579;%20&#1575;&#1604;&#1575;&#1588;&#1578;&#1585;&#1575;&#1591;&#1575;&#1578;/&#1605;&#1607;&#1606;&#1583;/&#1575;&#1604;&#1582;&#1610;&#1575;&#1591;&#1577;/&#1606;&#1587;&#1582;&#1577;%20&#1605;&#1606;%20&#1602;&#1608;&#1575;&#1574;&#1605;%20&#1575;&#1604;&#1578;&#1601;&#1581;&#1589;%20&#1575;&#1604;&#1606;&#1607;&#1575;&#1574;&#1610;&#1577;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lasmari/Desktop/&#1606;&#1587;&#1582;&#1577;%20&#1605;&#1606;%20&#1606;&#1587;&#1582;&#1577;%20&#1605;&#1606;%20&#1602;&#1608;&#1575;&#1574;&#1605;%20&#1575;&#1604;&#1578;&#1601;&#1581;&#1589;%20&#1575;&#1604;&#1606;&#1607;&#1575;&#1574;&#1610;&#1577;%20-%20&#1575;&#1604;&#1605;&#1580;&#1605;&#1593;&#1575;&#1578;%20&#1575;&#1604;&#1578;&#1580;&#1575;&#1585;&#1610;&#1577;%20&#1608;&#1575;&#1604;&#1571;&#1587;&#1608;&#1575;&#1602;%20&#1575;&#1604;&#1588;&#1593;&#1576;&#1610;&#1577;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قوائم_التدقيق"/>
      <sheetName val="قوائم_التفحص"/>
      <sheetName val="التصنيفات الرئيسية"/>
      <sheetName val="معايير مستوى الخطورة"/>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قوائم التدقيق"/>
      <sheetName val="قوائم_التفحص"/>
      <sheetName val="التصنيفات الرئيسية"/>
      <sheetName val="معايير مستوى الخطورة"/>
      <sheetName val="Sheet4"/>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83"/>
  <sheetViews>
    <sheetView showGridLines="0" rightToLeft="1" zoomScale="55" zoomScaleNormal="55" workbookViewId="0">
      <selection activeCell="D65" sqref="D65"/>
    </sheetView>
  </sheetViews>
  <sheetFormatPr defaultColWidth="0" defaultRowHeight="26.4" customHeight="1" zeroHeight="1"/>
  <cols>
    <col min="1" max="1" width="2.6640625" style="1" customWidth="1"/>
    <col min="2" max="2" width="7.88671875" style="2" customWidth="1"/>
    <col min="3" max="3" width="19.109375" style="2" customWidth="1"/>
    <col min="4" max="6" width="40.44140625" style="2" customWidth="1"/>
    <col min="7" max="7" width="82.44140625" style="3" customWidth="1"/>
    <col min="8" max="8" width="35.44140625" style="3" customWidth="1"/>
    <col min="9" max="9" width="3.33203125" style="1" customWidth="1"/>
    <col min="10" max="10" width="0" style="1" hidden="1" customWidth="1"/>
    <col min="11" max="16" width="0" hidden="1" customWidth="1"/>
    <col min="17" max="16384" width="8.6640625" hidden="1"/>
  </cols>
  <sheetData>
    <row r="1" spans="1:10"/>
    <row r="2" spans="1:10" ht="25.35" customHeight="1">
      <c r="A2"/>
      <c r="B2" s="49"/>
      <c r="C2" s="49"/>
      <c r="D2" s="49"/>
      <c r="E2" s="19"/>
      <c r="F2" s="19"/>
      <c r="G2"/>
      <c r="H2"/>
      <c r="I2"/>
      <c r="J2"/>
    </row>
    <row r="3" spans="1:10" ht="11.4" customHeight="1">
      <c r="A3"/>
      <c r="B3"/>
      <c r="C3"/>
      <c r="D3"/>
      <c r="E3"/>
      <c r="F3"/>
      <c r="G3"/>
      <c r="H3"/>
      <c r="I3"/>
      <c r="J3"/>
    </row>
    <row r="4" spans="1:10">
      <c r="B4" s="4" t="s">
        <v>0</v>
      </c>
      <c r="C4" s="5" t="s">
        <v>1</v>
      </c>
      <c r="D4" s="5" t="s">
        <v>2</v>
      </c>
      <c r="E4" s="5" t="s">
        <v>2</v>
      </c>
      <c r="F4" s="5" t="s">
        <v>2</v>
      </c>
      <c r="G4" s="5" t="s">
        <v>3</v>
      </c>
      <c r="H4" s="5" t="s">
        <v>4</v>
      </c>
    </row>
    <row r="5" spans="1:10" ht="36" customHeight="1">
      <c r="B5" s="9">
        <v>1</v>
      </c>
      <c r="C5" s="9" t="s">
        <v>5</v>
      </c>
      <c r="D5" s="9" t="s">
        <v>6</v>
      </c>
      <c r="E5" s="9" t="s">
        <v>7</v>
      </c>
      <c r="F5" s="9" t="s">
        <v>8</v>
      </c>
      <c r="G5" s="9" t="s">
        <v>194</v>
      </c>
      <c r="H5" s="9"/>
    </row>
    <row r="6" spans="1:10" ht="36" customHeight="1">
      <c r="B6" s="9">
        <v>2</v>
      </c>
      <c r="C6" s="9" t="s">
        <v>5</v>
      </c>
      <c r="D6" s="9" t="s">
        <v>6</v>
      </c>
      <c r="E6" s="9" t="s">
        <v>7</v>
      </c>
      <c r="F6" s="9" t="s">
        <v>9</v>
      </c>
      <c r="G6" s="9" t="s">
        <v>10</v>
      </c>
      <c r="H6" s="9"/>
    </row>
    <row r="7" spans="1:10" ht="36" customHeight="1">
      <c r="B7" s="9">
        <v>3</v>
      </c>
      <c r="C7" s="9" t="s">
        <v>5</v>
      </c>
      <c r="D7" s="9" t="s">
        <v>6</v>
      </c>
      <c r="E7" s="9" t="s">
        <v>7</v>
      </c>
      <c r="F7" s="9" t="s">
        <v>11</v>
      </c>
      <c r="G7" s="9" t="s">
        <v>195</v>
      </c>
      <c r="H7" s="9"/>
    </row>
    <row r="8" spans="1:10" ht="36" customHeight="1">
      <c r="B8" s="9">
        <v>4</v>
      </c>
      <c r="C8" s="9" t="s">
        <v>5</v>
      </c>
      <c r="D8" s="9" t="s">
        <v>6</v>
      </c>
      <c r="E8" s="9" t="s">
        <v>7</v>
      </c>
      <c r="F8" s="9" t="s">
        <v>12</v>
      </c>
      <c r="G8" s="9" t="s">
        <v>13</v>
      </c>
      <c r="H8" s="9"/>
    </row>
    <row r="9" spans="1:10" ht="35.1" customHeight="1">
      <c r="B9" s="9">
        <v>1</v>
      </c>
      <c r="C9" s="9" t="s">
        <v>5</v>
      </c>
      <c r="D9" s="9" t="s">
        <v>6</v>
      </c>
      <c r="E9" s="9" t="s">
        <v>7</v>
      </c>
      <c r="F9" s="9" t="s">
        <v>14</v>
      </c>
      <c r="G9" s="9" t="s">
        <v>196</v>
      </c>
      <c r="H9" s="9"/>
    </row>
    <row r="10" spans="1:10" ht="36" customHeight="1">
      <c r="B10" s="9">
        <v>2</v>
      </c>
      <c r="C10" s="9" t="s">
        <v>5</v>
      </c>
      <c r="D10" s="9" t="s">
        <v>6</v>
      </c>
      <c r="E10" s="9" t="s">
        <v>7</v>
      </c>
      <c r="F10" s="9" t="s">
        <v>15</v>
      </c>
      <c r="G10" s="9" t="s">
        <v>16</v>
      </c>
      <c r="H10" s="9"/>
    </row>
    <row r="11" spans="1:10" ht="36" customHeight="1">
      <c r="B11" s="9">
        <v>3</v>
      </c>
      <c r="C11" s="9" t="s">
        <v>5</v>
      </c>
      <c r="D11" s="9" t="s">
        <v>6</v>
      </c>
      <c r="E11" s="9" t="s">
        <v>7</v>
      </c>
      <c r="F11" s="9" t="s">
        <v>17</v>
      </c>
      <c r="G11" s="9" t="s">
        <v>16</v>
      </c>
      <c r="H11" s="9"/>
    </row>
    <row r="12" spans="1:10" ht="36" customHeight="1">
      <c r="B12" s="9">
        <v>4</v>
      </c>
      <c r="C12" s="9" t="s">
        <v>5</v>
      </c>
      <c r="D12" s="9" t="s">
        <v>6</v>
      </c>
      <c r="E12" s="9" t="s">
        <v>7</v>
      </c>
      <c r="F12" s="9" t="s">
        <v>18</v>
      </c>
      <c r="G12" s="9" t="s">
        <v>16</v>
      </c>
      <c r="H12" s="9"/>
    </row>
    <row r="13" spans="1:10" ht="36" customHeight="1">
      <c r="B13" s="9">
        <v>1</v>
      </c>
      <c r="C13" s="9" t="s">
        <v>5</v>
      </c>
      <c r="D13" s="9" t="s">
        <v>6</v>
      </c>
      <c r="E13" s="9" t="s">
        <v>7</v>
      </c>
      <c r="F13" s="9" t="s">
        <v>19</v>
      </c>
      <c r="G13" s="9" t="s">
        <v>16</v>
      </c>
      <c r="H13" s="9"/>
    </row>
    <row r="14" spans="1:10" ht="36" customHeight="1">
      <c r="B14" s="9">
        <v>2</v>
      </c>
      <c r="C14" s="9" t="s">
        <v>5</v>
      </c>
      <c r="D14" s="9" t="s">
        <v>6</v>
      </c>
      <c r="E14" s="9" t="s">
        <v>20</v>
      </c>
      <c r="F14" s="9" t="s">
        <v>8</v>
      </c>
      <c r="G14" s="9" t="s">
        <v>197</v>
      </c>
      <c r="H14" s="9"/>
    </row>
    <row r="15" spans="1:10" ht="36" customHeight="1">
      <c r="B15" s="9">
        <v>3</v>
      </c>
      <c r="C15" s="9" t="s">
        <v>5</v>
      </c>
      <c r="D15" s="9" t="s">
        <v>6</v>
      </c>
      <c r="E15" s="9" t="s">
        <v>20</v>
      </c>
      <c r="F15" s="9" t="s">
        <v>9</v>
      </c>
      <c r="G15" s="9" t="s">
        <v>16</v>
      </c>
      <c r="H15" s="9"/>
    </row>
    <row r="16" spans="1:10" ht="36" customHeight="1">
      <c r="B16" s="9">
        <v>4</v>
      </c>
      <c r="C16" s="9" t="s">
        <v>5</v>
      </c>
      <c r="D16" s="9" t="s">
        <v>6</v>
      </c>
      <c r="E16" s="9" t="s">
        <v>20</v>
      </c>
      <c r="F16" s="9" t="s">
        <v>11</v>
      </c>
      <c r="G16" s="9" t="s">
        <v>195</v>
      </c>
      <c r="H16" s="9"/>
    </row>
    <row r="17" spans="1:10" ht="36" customHeight="1">
      <c r="B17" s="9">
        <v>1</v>
      </c>
      <c r="C17" s="9" t="s">
        <v>5</v>
      </c>
      <c r="D17" s="9" t="s">
        <v>6</v>
      </c>
      <c r="E17" s="9" t="s">
        <v>20</v>
      </c>
      <c r="F17" s="9" t="s">
        <v>12</v>
      </c>
      <c r="G17" s="9" t="s">
        <v>13</v>
      </c>
      <c r="H17" s="9"/>
    </row>
    <row r="18" spans="1:10" ht="36" customHeight="1">
      <c r="B18" s="9">
        <v>2</v>
      </c>
      <c r="C18" s="9" t="s">
        <v>5</v>
      </c>
      <c r="D18" s="9" t="s">
        <v>6</v>
      </c>
      <c r="E18" s="9" t="s">
        <v>20</v>
      </c>
      <c r="F18" s="9" t="s">
        <v>14</v>
      </c>
      <c r="G18" s="9" t="s">
        <v>198</v>
      </c>
      <c r="H18" s="9"/>
    </row>
    <row r="19" spans="1:10" ht="36" customHeight="1">
      <c r="B19" s="9">
        <v>3</v>
      </c>
      <c r="C19" s="9" t="s">
        <v>5</v>
      </c>
      <c r="D19" s="9" t="s">
        <v>6</v>
      </c>
      <c r="E19" s="9" t="s">
        <v>20</v>
      </c>
      <c r="F19" s="9" t="s">
        <v>15</v>
      </c>
      <c r="G19" s="9" t="s">
        <v>21</v>
      </c>
      <c r="H19" s="9"/>
    </row>
    <row r="20" spans="1:10" ht="36" customHeight="1">
      <c r="B20" s="9">
        <v>4</v>
      </c>
      <c r="C20" s="9" t="s">
        <v>5</v>
      </c>
      <c r="D20" s="9" t="s">
        <v>6</v>
      </c>
      <c r="E20" s="9" t="s">
        <v>20</v>
      </c>
      <c r="F20" s="9" t="s">
        <v>17</v>
      </c>
      <c r="G20" s="9" t="s">
        <v>199</v>
      </c>
      <c r="H20" s="9"/>
    </row>
    <row r="21" spans="1:10" ht="36" customHeight="1">
      <c r="B21" s="9">
        <v>1</v>
      </c>
      <c r="C21" s="9" t="s">
        <v>5</v>
      </c>
      <c r="D21" s="9" t="s">
        <v>6</v>
      </c>
      <c r="E21" s="9" t="s">
        <v>20</v>
      </c>
      <c r="F21" s="9" t="s">
        <v>18</v>
      </c>
      <c r="G21" s="9" t="s">
        <v>21</v>
      </c>
      <c r="H21" s="9"/>
    </row>
    <row r="22" spans="1:10" ht="36" customHeight="1">
      <c r="B22" s="9">
        <v>2</v>
      </c>
      <c r="C22" s="9" t="s">
        <v>5</v>
      </c>
      <c r="D22" s="9" t="s">
        <v>6</v>
      </c>
      <c r="E22" s="9" t="s">
        <v>20</v>
      </c>
      <c r="F22" s="9" t="s">
        <v>19</v>
      </c>
      <c r="G22" s="9" t="s">
        <v>22</v>
      </c>
      <c r="H22" s="9"/>
    </row>
    <row r="23" spans="1:10" ht="36" customHeight="1">
      <c r="B23" s="9">
        <v>3</v>
      </c>
      <c r="C23" s="9" t="s">
        <v>5</v>
      </c>
      <c r="D23" s="9" t="s">
        <v>23</v>
      </c>
      <c r="E23" s="9"/>
      <c r="F23" s="9"/>
      <c r="G23" s="9" t="s">
        <v>24</v>
      </c>
      <c r="H23" s="9"/>
    </row>
    <row r="24" spans="1:10" ht="36" customHeight="1">
      <c r="B24" s="9">
        <v>4</v>
      </c>
      <c r="C24" s="9" t="s">
        <v>5</v>
      </c>
      <c r="D24" s="9" t="s">
        <v>25</v>
      </c>
      <c r="E24" s="9"/>
      <c r="F24" s="9"/>
      <c r="G24" s="9" t="s">
        <v>26</v>
      </c>
      <c r="H24" s="9"/>
    </row>
    <row r="25" spans="1:10" ht="18" customHeight="1">
      <c r="C25" s="10"/>
      <c r="D25" s="3"/>
      <c r="E25" s="3"/>
      <c r="F25" s="3"/>
    </row>
    <row r="26" spans="1:10" ht="14.4">
      <c r="A26"/>
      <c r="B26"/>
      <c r="C26"/>
      <c r="D26"/>
      <c r="E26"/>
      <c r="F26"/>
      <c r="G26"/>
      <c r="H26"/>
      <c r="I26"/>
      <c r="J26"/>
    </row>
    <row r="27" spans="1:10" ht="14.4">
      <c r="A27"/>
      <c r="B27"/>
      <c r="C27"/>
      <c r="D27"/>
      <c r="E27"/>
      <c r="F27"/>
      <c r="G27"/>
      <c r="H27"/>
      <c r="I27"/>
      <c r="J27"/>
    </row>
    <row r="28" spans="1:10">
      <c r="B28" s="4" t="s">
        <v>0</v>
      </c>
      <c r="C28" s="5" t="s">
        <v>1</v>
      </c>
      <c r="D28" s="5" t="s">
        <v>2</v>
      </c>
      <c r="E28" s="5" t="s">
        <v>2</v>
      </c>
      <c r="F28" s="5" t="s">
        <v>2</v>
      </c>
      <c r="G28" s="5" t="s">
        <v>3</v>
      </c>
      <c r="H28" s="5" t="s">
        <v>4</v>
      </c>
    </row>
    <row r="29" spans="1:10" ht="36" customHeight="1">
      <c r="B29" s="9">
        <v>1</v>
      </c>
      <c r="C29" s="9" t="s">
        <v>27</v>
      </c>
      <c r="D29" s="9"/>
      <c r="E29" s="9"/>
      <c r="F29" s="9"/>
      <c r="G29" s="9" t="s">
        <v>28</v>
      </c>
      <c r="H29" s="9"/>
    </row>
    <row r="30" spans="1:10" ht="36" customHeight="1">
      <c r="B30" s="9">
        <v>2</v>
      </c>
      <c r="C30" s="9" t="s">
        <v>27</v>
      </c>
      <c r="D30" s="9"/>
      <c r="E30" s="9"/>
      <c r="F30" s="9"/>
      <c r="G30" s="9" t="s">
        <v>29</v>
      </c>
      <c r="H30" s="9"/>
    </row>
    <row r="31" spans="1:10" ht="36" customHeight="1">
      <c r="B31" s="9">
        <v>3</v>
      </c>
      <c r="C31" s="9" t="s">
        <v>27</v>
      </c>
      <c r="D31" s="9"/>
      <c r="E31" s="9"/>
      <c r="F31" s="9"/>
      <c r="G31" s="9" t="s">
        <v>30</v>
      </c>
      <c r="H31" s="9"/>
    </row>
    <row r="32" spans="1:10">
      <c r="C32" s="3"/>
      <c r="D32" s="3"/>
      <c r="E32" s="3"/>
      <c r="F32" s="3"/>
    </row>
    <row r="33" spans="1:10" ht="14.4">
      <c r="A33"/>
      <c r="B33"/>
      <c r="C33"/>
      <c r="D33"/>
      <c r="E33"/>
      <c r="F33"/>
      <c r="G33"/>
      <c r="H33"/>
      <c r="I33"/>
      <c r="J33"/>
    </row>
    <row r="34" spans="1:10" ht="14.4">
      <c r="A34"/>
      <c r="B34"/>
      <c r="C34"/>
      <c r="D34"/>
      <c r="E34"/>
      <c r="F34"/>
      <c r="G34"/>
      <c r="H34"/>
      <c r="I34"/>
      <c r="J34"/>
    </row>
    <row r="35" spans="1:10">
      <c r="B35" s="12" t="s">
        <v>0</v>
      </c>
      <c r="C35" s="12" t="s">
        <v>1</v>
      </c>
      <c r="D35" s="12" t="s">
        <v>2</v>
      </c>
      <c r="E35" s="12" t="s">
        <v>2</v>
      </c>
      <c r="F35" s="12" t="s">
        <v>2</v>
      </c>
      <c r="G35" s="12" t="s">
        <v>3</v>
      </c>
      <c r="H35" s="12" t="s">
        <v>4</v>
      </c>
    </row>
    <row r="36" spans="1:10" ht="36" customHeight="1">
      <c r="A36" s="14"/>
      <c r="B36" s="9">
        <v>1</v>
      </c>
      <c r="C36" s="9" t="s">
        <v>31</v>
      </c>
      <c r="D36" s="9" t="s">
        <v>32</v>
      </c>
      <c r="E36" s="9"/>
      <c r="F36" s="9"/>
      <c r="G36" s="9" t="s">
        <v>33</v>
      </c>
      <c r="H36" s="9"/>
      <c r="I36" s="14"/>
      <c r="J36" s="14"/>
    </row>
    <row r="37" spans="1:10" ht="36" customHeight="1">
      <c r="A37" s="14"/>
      <c r="B37" s="9">
        <v>2</v>
      </c>
      <c r="C37" s="9" t="s">
        <v>31</v>
      </c>
      <c r="D37" s="9" t="s">
        <v>32</v>
      </c>
      <c r="E37" s="9"/>
      <c r="F37" s="9"/>
      <c r="G37" s="9" t="s">
        <v>34</v>
      </c>
      <c r="H37" s="9"/>
      <c r="I37" s="14"/>
      <c r="J37" s="14"/>
    </row>
    <row r="38" spans="1:10" ht="36" customHeight="1">
      <c r="A38" s="14"/>
      <c r="B38" s="9">
        <v>3</v>
      </c>
      <c r="C38" s="9" t="s">
        <v>31</v>
      </c>
      <c r="D38" s="9" t="s">
        <v>32</v>
      </c>
      <c r="E38" s="9"/>
      <c r="F38" s="9"/>
      <c r="G38" s="9" t="s">
        <v>35</v>
      </c>
      <c r="H38" s="9"/>
      <c r="I38" s="14"/>
      <c r="J38" s="14"/>
    </row>
    <row r="39" spans="1:10" ht="36" customHeight="1">
      <c r="A39" s="14"/>
      <c r="B39" s="9">
        <v>22</v>
      </c>
      <c r="C39" s="9" t="s">
        <v>31</v>
      </c>
      <c r="D39" s="9" t="s">
        <v>36</v>
      </c>
      <c r="E39" s="9"/>
      <c r="F39" s="9"/>
      <c r="G39" s="9" t="s">
        <v>200</v>
      </c>
      <c r="H39" s="9"/>
      <c r="I39" s="14"/>
      <c r="J39" s="14"/>
    </row>
    <row r="40" spans="1:10" ht="36" customHeight="1">
      <c r="A40" s="14"/>
      <c r="B40" s="9">
        <v>23</v>
      </c>
      <c r="C40" s="9" t="s">
        <v>31</v>
      </c>
      <c r="D40" s="9" t="s">
        <v>36</v>
      </c>
      <c r="E40" s="9"/>
      <c r="F40" s="9"/>
      <c r="G40" s="9" t="s">
        <v>201</v>
      </c>
      <c r="H40" s="9"/>
      <c r="I40" s="14"/>
      <c r="J40" s="14"/>
    </row>
    <row r="41" spans="1:10" ht="36" customHeight="1">
      <c r="A41" s="14"/>
      <c r="B41" s="9">
        <v>24</v>
      </c>
      <c r="C41" s="9" t="s">
        <v>31</v>
      </c>
      <c r="D41" s="9" t="s">
        <v>36</v>
      </c>
      <c r="E41" s="9"/>
      <c r="F41" s="9"/>
      <c r="G41" s="9" t="s">
        <v>37</v>
      </c>
      <c r="H41" s="9"/>
      <c r="I41" s="14"/>
      <c r="J41" s="14"/>
    </row>
    <row r="42" spans="1:10" ht="36" customHeight="1">
      <c r="A42" s="14"/>
      <c r="B42" s="9">
        <v>25</v>
      </c>
      <c r="C42" s="9" t="s">
        <v>31</v>
      </c>
      <c r="D42" s="9" t="s">
        <v>36</v>
      </c>
      <c r="E42" s="9"/>
      <c r="F42" s="9"/>
      <c r="G42" s="9" t="s">
        <v>202</v>
      </c>
      <c r="H42" s="9"/>
      <c r="I42" s="14"/>
      <c r="J42" s="14"/>
    </row>
    <row r="43" spans="1:10" ht="36" customHeight="1">
      <c r="B43" s="9">
        <v>26</v>
      </c>
      <c r="C43" s="9" t="s">
        <v>31</v>
      </c>
      <c r="D43" s="9" t="s">
        <v>38</v>
      </c>
      <c r="E43" s="9"/>
      <c r="F43" s="9"/>
      <c r="G43" s="9" t="s">
        <v>203</v>
      </c>
      <c r="H43" s="9"/>
    </row>
    <row r="44" spans="1:10" ht="36" customHeight="1">
      <c r="B44" s="9">
        <v>27</v>
      </c>
      <c r="C44" s="9" t="s">
        <v>31</v>
      </c>
      <c r="D44" s="9" t="s">
        <v>38</v>
      </c>
      <c r="E44" s="9"/>
      <c r="F44" s="9"/>
      <c r="G44" s="9" t="s">
        <v>204</v>
      </c>
      <c r="H44" s="9"/>
    </row>
    <row r="45" spans="1:10" ht="36" customHeight="1">
      <c r="B45" s="9">
        <v>28</v>
      </c>
      <c r="C45" s="9" t="s">
        <v>31</v>
      </c>
      <c r="D45" s="9" t="s">
        <v>38</v>
      </c>
      <c r="E45" s="9"/>
      <c r="F45" s="9"/>
      <c r="G45" s="9" t="s">
        <v>205</v>
      </c>
      <c r="H45" s="9"/>
    </row>
    <row r="46" spans="1:10" ht="36" customHeight="1">
      <c r="B46" s="9">
        <v>29</v>
      </c>
      <c r="C46" s="9" t="s">
        <v>31</v>
      </c>
      <c r="D46" s="9" t="s">
        <v>38</v>
      </c>
      <c r="E46" s="9"/>
      <c r="F46" s="9"/>
      <c r="G46" s="9" t="s">
        <v>39</v>
      </c>
      <c r="H46" s="9"/>
    </row>
    <row r="47" spans="1:10" ht="36" customHeight="1">
      <c r="B47" s="9">
        <v>30</v>
      </c>
      <c r="C47" s="9" t="s">
        <v>31</v>
      </c>
      <c r="D47" s="9" t="s">
        <v>38</v>
      </c>
      <c r="E47" s="9"/>
      <c r="F47" s="9"/>
      <c r="G47" s="9" t="s">
        <v>206</v>
      </c>
      <c r="H47" s="9"/>
    </row>
    <row r="48" spans="1:10" ht="36" customHeight="1">
      <c r="B48" s="9">
        <v>31</v>
      </c>
      <c r="C48" s="9" t="s">
        <v>31</v>
      </c>
      <c r="D48" s="9" t="s">
        <v>38</v>
      </c>
      <c r="E48" s="9"/>
      <c r="F48" s="9"/>
      <c r="G48" s="9" t="s">
        <v>207</v>
      </c>
      <c r="H48" s="9"/>
    </row>
    <row r="49" spans="2:8" s="1" customFormat="1" ht="36" customHeight="1">
      <c r="B49" s="9">
        <v>32</v>
      </c>
      <c r="C49" s="9" t="s">
        <v>31</v>
      </c>
      <c r="D49" s="9" t="s">
        <v>38</v>
      </c>
      <c r="E49" s="9"/>
      <c r="F49" s="9"/>
      <c r="G49" s="9" t="s">
        <v>208</v>
      </c>
      <c r="H49" s="9"/>
    </row>
    <row r="50" spans="2:8" s="1" customFormat="1" ht="36" customHeight="1">
      <c r="B50" s="9">
        <v>33</v>
      </c>
      <c r="C50" s="9" t="s">
        <v>31</v>
      </c>
      <c r="D50" s="9" t="s">
        <v>40</v>
      </c>
      <c r="E50" s="9"/>
      <c r="F50" s="9"/>
      <c r="G50" s="9" t="s">
        <v>41</v>
      </c>
      <c r="H50" s="9"/>
    </row>
    <row r="51" spans="2:8" s="1" customFormat="1" ht="36" customHeight="1">
      <c r="B51" s="9">
        <v>34</v>
      </c>
      <c r="C51" s="9" t="s">
        <v>31</v>
      </c>
      <c r="D51" s="9" t="s">
        <v>40</v>
      </c>
      <c r="E51" s="9"/>
      <c r="F51" s="9"/>
      <c r="G51" s="9" t="s">
        <v>42</v>
      </c>
      <c r="H51" s="9"/>
    </row>
    <row r="52" spans="2:8" s="1" customFormat="1" ht="36" customHeight="1">
      <c r="B52" s="9">
        <v>35</v>
      </c>
      <c r="C52" s="9" t="s">
        <v>31</v>
      </c>
      <c r="D52" s="9" t="s">
        <v>40</v>
      </c>
      <c r="E52" s="9"/>
      <c r="F52" s="9"/>
      <c r="G52" s="9" t="s">
        <v>209</v>
      </c>
      <c r="H52" s="9"/>
    </row>
    <row r="53" spans="2:8" s="1" customFormat="1" ht="36" customHeight="1">
      <c r="B53" s="9">
        <v>36</v>
      </c>
      <c r="C53" s="9" t="s">
        <v>31</v>
      </c>
      <c r="D53" s="9" t="s">
        <v>43</v>
      </c>
      <c r="E53" s="9"/>
      <c r="F53" s="9"/>
      <c r="G53" s="9" t="s">
        <v>210</v>
      </c>
      <c r="H53" s="9"/>
    </row>
    <row r="54" spans="2:8" s="1" customFormat="1" ht="36" customHeight="1">
      <c r="B54" s="9">
        <v>37</v>
      </c>
      <c r="C54" s="9" t="s">
        <v>31</v>
      </c>
      <c r="D54" s="9" t="s">
        <v>43</v>
      </c>
      <c r="E54" s="9"/>
      <c r="F54" s="9"/>
      <c r="G54" s="9" t="s">
        <v>211</v>
      </c>
      <c r="H54" s="9"/>
    </row>
    <row r="55" spans="2:8" s="1" customFormat="1" ht="36" customHeight="1">
      <c r="B55" s="9">
        <v>38</v>
      </c>
      <c r="C55" s="9" t="s">
        <v>31</v>
      </c>
      <c r="D55" s="9" t="s">
        <v>44</v>
      </c>
      <c r="E55" s="9"/>
      <c r="F55" s="9"/>
      <c r="G55" s="9" t="s">
        <v>212</v>
      </c>
      <c r="H55" s="9"/>
    </row>
    <row r="56" spans="2:8" s="1" customFormat="1" ht="36" customHeight="1">
      <c r="B56" s="9">
        <v>39</v>
      </c>
      <c r="C56" s="9" t="s">
        <v>31</v>
      </c>
      <c r="D56" s="9" t="s">
        <v>44</v>
      </c>
      <c r="E56" s="9"/>
      <c r="F56" s="9"/>
      <c r="G56" s="9" t="s">
        <v>45</v>
      </c>
      <c r="H56" s="9"/>
    </row>
    <row r="57" spans="2:8" s="1" customFormat="1" ht="36" customHeight="1">
      <c r="B57" s="9">
        <v>40</v>
      </c>
      <c r="C57" s="9" t="s">
        <v>31</v>
      </c>
      <c r="D57" s="9" t="s">
        <v>44</v>
      </c>
      <c r="E57" s="9"/>
      <c r="F57" s="9"/>
      <c r="G57" s="9" t="s">
        <v>46</v>
      </c>
      <c r="H57" s="9"/>
    </row>
    <row r="58" spans="2:8" s="1" customFormat="1" ht="36" customHeight="1">
      <c r="B58" s="9">
        <v>41</v>
      </c>
      <c r="C58" s="9" t="s">
        <v>31</v>
      </c>
      <c r="D58" s="9" t="s">
        <v>47</v>
      </c>
      <c r="E58" s="9"/>
      <c r="F58" s="9"/>
      <c r="G58" s="9" t="s">
        <v>213</v>
      </c>
      <c r="H58" s="9"/>
    </row>
    <row r="59" spans="2:8" s="1" customFormat="1" ht="36" customHeight="1">
      <c r="B59" s="9">
        <v>42</v>
      </c>
      <c r="C59" s="9" t="s">
        <v>31</v>
      </c>
      <c r="D59" s="9" t="s">
        <v>47</v>
      </c>
      <c r="E59" s="9"/>
      <c r="F59" s="9"/>
      <c r="G59" s="9" t="s">
        <v>48</v>
      </c>
      <c r="H59" s="9"/>
    </row>
    <row r="60" spans="2:8" s="1" customFormat="1" ht="36" customHeight="1">
      <c r="B60" s="9">
        <v>43</v>
      </c>
      <c r="C60" s="9" t="s">
        <v>31</v>
      </c>
      <c r="D60" s="9" t="s">
        <v>47</v>
      </c>
      <c r="E60" s="9"/>
      <c r="F60" s="9"/>
      <c r="G60" s="9" t="s">
        <v>49</v>
      </c>
      <c r="H60" s="9"/>
    </row>
    <row r="61" spans="2:8" s="1" customFormat="1" ht="36" customHeight="1">
      <c r="B61" s="9">
        <v>44</v>
      </c>
      <c r="C61" s="9" t="s">
        <v>31</v>
      </c>
      <c r="D61" s="9" t="s">
        <v>50</v>
      </c>
      <c r="E61" s="9"/>
      <c r="F61" s="9"/>
      <c r="G61" s="9" t="s">
        <v>51</v>
      </c>
      <c r="H61" s="9"/>
    </row>
    <row r="62" spans="2:8" s="1" customFormat="1" ht="36" customHeight="1">
      <c r="B62" s="9">
        <v>45</v>
      </c>
      <c r="C62" s="9" t="s">
        <v>31</v>
      </c>
      <c r="D62" s="9" t="s">
        <v>52</v>
      </c>
      <c r="E62" s="9"/>
      <c r="F62" s="9"/>
      <c r="G62" s="9" t="s">
        <v>53</v>
      </c>
      <c r="H62" s="9"/>
    </row>
    <row r="63" spans="2:8" s="1" customFormat="1" ht="36" customHeight="1">
      <c r="B63" s="16"/>
      <c r="C63" s="17"/>
      <c r="D63" s="17"/>
      <c r="E63" s="17"/>
      <c r="F63" s="17"/>
      <c r="G63" s="15"/>
      <c r="H63" s="17"/>
    </row>
    <row r="64" spans="2:8" s="1" customFormat="1" ht="36" customHeight="1">
      <c r="B64" s="16"/>
      <c r="C64" s="17"/>
      <c r="D64" s="17"/>
      <c r="E64" s="17"/>
      <c r="F64" s="17"/>
      <c r="G64" s="15"/>
      <c r="H64" s="17"/>
    </row>
    <row r="65" spans="2:8" s="1" customFormat="1" ht="36" customHeight="1">
      <c r="B65" s="16"/>
      <c r="C65" s="17"/>
      <c r="D65" s="17"/>
      <c r="E65" s="17"/>
      <c r="F65" s="17"/>
      <c r="G65" s="15"/>
      <c r="H65" s="17"/>
    </row>
    <row r="66" spans="2:8" s="1" customFormat="1">
      <c r="B66" s="2"/>
      <c r="C66" s="2"/>
      <c r="D66" s="2"/>
      <c r="E66" s="2"/>
      <c r="F66" s="2"/>
      <c r="G66" s="3"/>
      <c r="H66" s="3"/>
    </row>
    <row r="67" spans="2:8" ht="26.4" customHeight="1"/>
    <row r="68" spans="2:8" ht="26.4" customHeight="1"/>
    <row r="69" spans="2:8" ht="26.4" customHeight="1"/>
    <row r="70" spans="2:8" ht="26.4" customHeight="1"/>
    <row r="71" spans="2:8" ht="26.4" customHeight="1"/>
    <row r="72" spans="2:8" ht="26.4" customHeight="1"/>
    <row r="73" spans="2:8" ht="26.4" customHeight="1"/>
    <row r="74" spans="2:8" ht="26.4" customHeight="1"/>
    <row r="75" spans="2:8" ht="26.4" customHeight="1"/>
    <row r="76" spans="2:8" ht="26.4" customHeight="1"/>
    <row r="77" spans="2:8" ht="26.4" customHeight="1"/>
    <row r="78" spans="2:8" ht="26.4" customHeight="1"/>
    <row r="79" spans="2:8" ht="26.4" customHeight="1"/>
    <row r="80" spans="2:8" ht="26.4" customHeight="1"/>
    <row r="81" ht="26.4" customHeight="1"/>
    <row r="82" ht="26.4" customHeight="1"/>
    <row r="83" ht="26.4" customHeight="1"/>
    <row r="84" ht="26.4" customHeight="1"/>
    <row r="85" ht="26.4" customHeight="1"/>
    <row r="86" ht="26.4" customHeight="1"/>
    <row r="87" ht="26.4" customHeight="1"/>
    <row r="88" ht="26.4" customHeight="1"/>
    <row r="89" ht="26.4" customHeight="1"/>
    <row r="90" ht="26.4" customHeight="1"/>
    <row r="91" ht="26.4" customHeight="1"/>
    <row r="92" ht="26.4" customHeight="1"/>
    <row r="93" ht="26.4" customHeight="1"/>
    <row r="94" ht="26.4" customHeight="1"/>
    <row r="95" ht="26.4" customHeight="1"/>
    <row r="96" ht="26.4" customHeight="1"/>
    <row r="97" ht="26.4" customHeight="1"/>
    <row r="98" ht="26.4" customHeight="1"/>
    <row r="102" ht="26.4" customHeight="1"/>
    <row r="103" ht="26.4" customHeight="1"/>
    <row r="104" ht="26.4" customHeight="1"/>
    <row r="105" ht="26.4" customHeight="1"/>
    <row r="106" ht="26.4" customHeight="1"/>
    <row r="107" ht="26.4" customHeight="1"/>
    <row r="108" ht="26.4" customHeight="1"/>
    <row r="109" ht="26.4" customHeight="1"/>
    <row r="110" ht="26.4" customHeight="1"/>
    <row r="111" ht="26.4" customHeight="1"/>
    <row r="112" ht="26.4" customHeight="1"/>
    <row r="115" ht="26.4" customHeight="1"/>
    <row r="118" ht="26.4" customHeight="1"/>
    <row r="119" ht="26.4" customHeight="1"/>
    <row r="121" ht="26.4" customHeight="1"/>
    <row r="122" ht="26.4" customHeight="1"/>
    <row r="123" ht="26.4" customHeight="1"/>
    <row r="124" ht="26.4" customHeight="1"/>
    <row r="125" ht="26.4" customHeight="1"/>
    <row r="126" ht="26.4" customHeight="1"/>
    <row r="127" ht="26.4" customHeight="1"/>
    <row r="128" ht="26.4" customHeight="1"/>
    <row r="130" spans="1:10" ht="26.4" customHeight="1"/>
    <row r="131" spans="1:10" ht="26.4" customHeight="1"/>
    <row r="132" spans="1:10" ht="26.4" customHeight="1"/>
    <row r="133" spans="1:10" ht="26.4" customHeight="1"/>
    <row r="134" spans="1:10" hidden="1">
      <c r="A134" s="2"/>
      <c r="D134" s="2" t="s">
        <v>54</v>
      </c>
      <c r="I134" s="2"/>
      <c r="J134" s="2"/>
    </row>
    <row r="135" spans="1:10" ht="26.4" customHeight="1"/>
    <row r="136" spans="1:10" ht="26.4" customHeight="1"/>
    <row r="137" spans="1:10" ht="26.4" customHeight="1"/>
    <row r="138" spans="1:10" ht="26.4" customHeight="1"/>
    <row r="139" spans="1:10" ht="26.4" customHeight="1"/>
    <row r="140" spans="1:10" ht="26.4" customHeight="1"/>
    <row r="141" spans="1:10" ht="26.4" customHeight="1"/>
    <row r="142" spans="1:10" ht="26.4" customHeight="1"/>
    <row r="143" spans="1:10" ht="26.4" customHeight="1"/>
    <row r="144" spans="1:10" ht="26.4" customHeight="1"/>
    <row r="146" ht="26.4" customHeight="1"/>
    <row r="147" ht="26.4" customHeight="1"/>
    <row r="148" ht="26.4" customHeight="1"/>
    <row r="149" ht="26.4" customHeight="1"/>
    <row r="150" ht="26.4" customHeight="1"/>
    <row r="151" ht="26.4" customHeight="1"/>
    <row r="152" ht="26.4" customHeight="1"/>
    <row r="153" ht="26.4" customHeight="1"/>
    <row r="154" ht="26.4" customHeight="1"/>
    <row r="155" ht="26.4" customHeight="1"/>
    <row r="156" ht="26.4" customHeight="1"/>
    <row r="157" ht="26.4" customHeight="1"/>
    <row r="158" ht="26.4" customHeight="1"/>
    <row r="159" ht="26.4" customHeight="1"/>
    <row r="160" ht="26.4" customHeight="1"/>
    <row r="162" ht="26.4" customHeight="1"/>
    <row r="163" ht="26.4" customHeight="1"/>
    <row r="164" ht="26.4" customHeight="1"/>
    <row r="165" ht="26.4" customHeight="1"/>
    <row r="166" ht="26.4" customHeight="1"/>
    <row r="167" ht="26.4" customHeight="1"/>
    <row r="168" ht="26.4" customHeight="1"/>
    <row r="169" ht="26.4" customHeight="1"/>
    <row r="170" ht="26.4" customHeight="1"/>
    <row r="171" ht="26.4" customHeight="1"/>
    <row r="172" ht="26.4" customHeight="1"/>
    <row r="173" ht="26.4" customHeight="1"/>
    <row r="174" ht="26.4" customHeight="1"/>
    <row r="175" ht="26.4" customHeight="1"/>
    <row r="176" ht="26.4" customHeight="1"/>
    <row r="177" ht="26.4" customHeight="1"/>
    <row r="178" ht="26.4" customHeight="1"/>
    <row r="179" ht="26.4" customHeight="1"/>
    <row r="181" ht="26.4" customHeight="1"/>
    <row r="182" ht="26.4" customHeight="1"/>
    <row r="183" ht="26.4" customHeight="1"/>
  </sheetData>
  <mergeCells count="1">
    <mergeCell ref="B2:D2"/>
  </mergeCells>
  <phoneticPr fontId="7" type="noConversion"/>
  <dataValidations count="1">
    <dataValidation type="list" allowBlank="1" showInputMessage="1" showErrorMessage="1" sqref="H29:H32 H5:H25 H36:H65" xr:uid="{00000000-0002-0000-0000-000002000000}">
      <formula1>#REF!</formula1>
    </dataValidation>
  </dataValidations>
  <pageMargins left="0.7" right="0.7" top="0.75" bottom="0.75" header="0.3" footer="0.3"/>
  <pageSetup scale="3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ACF9-91FE-4CEE-A7CA-862A48DDA020}">
  <sheetPr>
    <pageSetUpPr fitToPage="1"/>
  </sheetPr>
  <dimension ref="A1:N264"/>
  <sheetViews>
    <sheetView showGridLines="0" rightToLeft="1" tabSelected="1" topLeftCell="D28" zoomScale="71" zoomScaleNormal="85" workbookViewId="0">
      <selection activeCell="D101" sqref="A101:XFD101"/>
    </sheetView>
  </sheetViews>
  <sheetFormatPr defaultColWidth="0" defaultRowHeight="26.4" customHeight="1" zeroHeight="1"/>
  <cols>
    <col min="1" max="1" width="2.6640625" style="1" customWidth="1"/>
    <col min="2" max="2" width="7.88671875" style="2" customWidth="1"/>
    <col min="3" max="3" width="19.109375" style="2" customWidth="1"/>
    <col min="4" max="4" width="40.44140625" style="2" customWidth="1"/>
    <col min="5" max="5" width="82.44140625" style="3" customWidth="1"/>
    <col min="6" max="6" width="35.44140625" style="3" customWidth="1"/>
    <col min="7" max="8" width="28" style="3" customWidth="1"/>
    <col min="9" max="9" width="58.88671875" style="3" customWidth="1"/>
    <col min="10" max="10" width="10.44140625" style="2" customWidth="1"/>
    <col min="11" max="11" width="3.33203125" style="1" customWidth="1"/>
    <col min="12" max="12" width="0" style="1" hidden="1" customWidth="1"/>
    <col min="13" max="14" width="0" hidden="1" customWidth="1"/>
    <col min="15" max="16384" width="8.6640625" hidden="1"/>
  </cols>
  <sheetData>
    <row r="1" spans="1:12"/>
    <row r="2" spans="1:12" ht="25.35" customHeight="1">
      <c r="A2"/>
      <c r="B2" s="49"/>
      <c r="C2" s="49"/>
      <c r="D2" s="49"/>
      <c r="E2"/>
      <c r="F2"/>
      <c r="G2"/>
      <c r="H2"/>
      <c r="I2"/>
      <c r="J2"/>
      <c r="K2"/>
      <c r="L2"/>
    </row>
    <row r="3" spans="1:12" ht="11.4" customHeight="1">
      <c r="A3"/>
      <c r="B3"/>
      <c r="C3"/>
      <c r="D3"/>
      <c r="E3"/>
      <c r="F3"/>
      <c r="G3"/>
      <c r="H3"/>
      <c r="I3"/>
      <c r="J3"/>
      <c r="K3"/>
      <c r="L3"/>
    </row>
    <row r="4" spans="1:12" ht="52.8">
      <c r="B4" s="4" t="s">
        <v>0</v>
      </c>
      <c r="C4" s="5" t="s">
        <v>1</v>
      </c>
      <c r="D4" s="5" t="s">
        <v>2</v>
      </c>
      <c r="E4" s="5" t="s">
        <v>3</v>
      </c>
      <c r="F4" s="5" t="s">
        <v>55</v>
      </c>
      <c r="G4" s="5" t="s">
        <v>56</v>
      </c>
      <c r="H4" s="5" t="s">
        <v>57</v>
      </c>
      <c r="I4" s="6" t="s">
        <v>58</v>
      </c>
      <c r="J4" s="7" t="s">
        <v>59</v>
      </c>
    </row>
    <row r="5" spans="1:12" ht="18">
      <c r="B5" s="21">
        <v>1</v>
      </c>
      <c r="C5" s="22" t="s">
        <v>234</v>
      </c>
      <c r="D5" s="23" t="s">
        <v>23</v>
      </c>
      <c r="E5" s="23" t="s">
        <v>235</v>
      </c>
      <c r="F5" s="23" t="s">
        <v>60</v>
      </c>
      <c r="G5" s="23" t="str">
        <f>IF(H5="جسيمة","عالي",IF(D5&lt;&gt;"اللوحات الداخلية",IF(OR(F5="مخالفات الرخصة ومزاولة النشاط",F5="النظافة العامة",F5="التشوه البصري"),"متوسط","منخفض"),"منخفض"))</f>
        <v>عالي</v>
      </c>
      <c r="H5" s="23" t="s">
        <v>66</v>
      </c>
      <c r="I5" s="27" t="s">
        <v>93</v>
      </c>
      <c r="J5" s="41" t="s">
        <v>236</v>
      </c>
    </row>
    <row r="6" spans="1:12" ht="90">
      <c r="B6" s="21">
        <v>2</v>
      </c>
      <c r="C6" s="22" t="s">
        <v>234</v>
      </c>
      <c r="D6" s="24" t="s">
        <v>25</v>
      </c>
      <c r="E6" s="24" t="s">
        <v>237</v>
      </c>
      <c r="F6" s="24" t="s">
        <v>60</v>
      </c>
      <c r="G6" s="24" t="str">
        <f>IF(H6="جسيمة","عالي",IF(D6&lt;&gt;"اللوحات الداخلية",IF(OR(F6="مخالفات الرخصة ومزاولة النشاط",F6="النظافة العامة",F6="التشوه البصري"),"متوسط","منخفض"),"منخفض"))</f>
        <v>متوسط</v>
      </c>
      <c r="H6" s="24" t="s">
        <v>61</v>
      </c>
      <c r="I6" s="27" t="s">
        <v>289</v>
      </c>
      <c r="J6" s="41" t="s">
        <v>290</v>
      </c>
    </row>
    <row r="7" spans="1:12" ht="54">
      <c r="B7" s="21">
        <v>3</v>
      </c>
      <c r="C7" s="21" t="s">
        <v>5</v>
      </c>
      <c r="D7" s="25" t="s">
        <v>238</v>
      </c>
      <c r="E7" s="25" t="s">
        <v>239</v>
      </c>
      <c r="F7" s="25" t="s">
        <v>60</v>
      </c>
      <c r="G7" s="25" t="str">
        <f>IF(H7="جسيمة","عالي",IF(D7&lt;&gt;"اللوحات الداخلية",IF(OR(F7="مخالفات الرخصة ومزاولة النشاط",F7="النظافة العامة",F7="التشوه البصري"),"متوسط","منخفض"),"منخفض"))</f>
        <v>متوسط</v>
      </c>
      <c r="H7" s="25" t="s">
        <v>61</v>
      </c>
      <c r="I7" s="25" t="s">
        <v>291</v>
      </c>
      <c r="J7" s="26" t="s">
        <v>240</v>
      </c>
    </row>
    <row r="8" spans="1:12" ht="18" customHeight="1">
      <c r="C8" s="10"/>
      <c r="D8" s="3"/>
      <c r="J8" s="11"/>
    </row>
    <row r="9" spans="1:12" ht="14.4">
      <c r="A9"/>
      <c r="B9"/>
      <c r="C9"/>
      <c r="D9"/>
      <c r="E9"/>
      <c r="F9"/>
      <c r="G9"/>
      <c r="H9"/>
      <c r="I9"/>
      <c r="J9"/>
      <c r="K9"/>
      <c r="L9"/>
    </row>
    <row r="10" spans="1:12" ht="14.4">
      <c r="A10"/>
      <c r="B10"/>
      <c r="C10"/>
      <c r="D10"/>
      <c r="E10"/>
      <c r="F10"/>
      <c r="G10"/>
      <c r="H10"/>
      <c r="I10"/>
      <c r="J10"/>
      <c r="K10"/>
      <c r="L10"/>
    </row>
    <row r="11" spans="1:12" ht="52.8">
      <c r="B11" s="4" t="s">
        <v>0</v>
      </c>
      <c r="C11" s="5" t="s">
        <v>1</v>
      </c>
      <c r="D11" s="5" t="s">
        <v>2</v>
      </c>
      <c r="E11" s="5" t="s">
        <v>3</v>
      </c>
      <c r="F11" s="5" t="s">
        <v>55</v>
      </c>
      <c r="G11" s="5" t="s">
        <v>56</v>
      </c>
      <c r="H11" s="5" t="s">
        <v>57</v>
      </c>
      <c r="I11" s="6" t="s">
        <v>58</v>
      </c>
      <c r="J11" s="7" t="s">
        <v>59</v>
      </c>
    </row>
    <row r="12" spans="1:12" ht="36" customHeight="1">
      <c r="B12" s="8">
        <v>4</v>
      </c>
      <c r="C12" s="8" t="s">
        <v>31</v>
      </c>
      <c r="D12" s="8" t="s">
        <v>62</v>
      </c>
      <c r="E12" s="8" t="s">
        <v>241</v>
      </c>
      <c r="F12" s="25" t="s">
        <v>63</v>
      </c>
      <c r="G12" s="25" t="str">
        <f t="shared" ref="G12" si="0">IF(H12="جسيمة","عالي",IF(D12&lt;&gt;"اللوحات الداخلية",IF(OR(F12="مخالفات الرخصة ومزاولة النشاط",F12="النظافة العامة",F12="التشوه البصري"),"متوسط","منخفض"),"منخفض"))</f>
        <v>منخفض</v>
      </c>
      <c r="H12" s="25" t="s">
        <v>61</v>
      </c>
      <c r="I12" s="25" t="s">
        <v>64</v>
      </c>
      <c r="J12" s="25" t="s">
        <v>65</v>
      </c>
    </row>
    <row r="13" spans="1:12" s="1" customFormat="1" ht="36" customHeight="1">
      <c r="B13" s="21">
        <v>6</v>
      </c>
      <c r="C13" s="25" t="s">
        <v>31</v>
      </c>
      <c r="D13" s="25" t="s">
        <v>62</v>
      </c>
      <c r="E13" s="27" t="s">
        <v>242</v>
      </c>
      <c r="F13" s="42" t="s">
        <v>63</v>
      </c>
      <c r="G13" s="42" t="s">
        <v>233</v>
      </c>
      <c r="H13" s="42" t="s">
        <v>61</v>
      </c>
      <c r="I13" s="42" t="s">
        <v>292</v>
      </c>
      <c r="J13" s="43" t="s">
        <v>243</v>
      </c>
    </row>
    <row r="14" spans="1:12" s="29" customFormat="1" ht="36" customHeight="1">
      <c r="B14" s="45">
        <v>7</v>
      </c>
      <c r="C14" s="46" t="s">
        <v>31</v>
      </c>
      <c r="D14" s="46" t="s">
        <v>62</v>
      </c>
      <c r="E14" s="47" t="s">
        <v>244</v>
      </c>
      <c r="F14" s="46" t="s">
        <v>63</v>
      </c>
      <c r="G14" s="46" t="str">
        <f t="shared" ref="G14" si="1">IF(H14="جسيمة","عالي",IF(D14&lt;&gt;"اللوحات الداخلية",IF(OR(F14="مخالفات الرخصة ومزاولة النشاط",F14="النظافة العامة",F14="التشوه البصري"),"متوسط","منخفض"),"منخفض"))</f>
        <v>منخفض</v>
      </c>
      <c r="H14" s="47" t="s">
        <v>61</v>
      </c>
      <c r="I14" s="46" t="s">
        <v>245</v>
      </c>
      <c r="J14" s="46" t="s">
        <v>246</v>
      </c>
    </row>
    <row r="15" spans="1:12" s="1" customFormat="1" ht="36" customHeight="1">
      <c r="B15" s="21">
        <v>8</v>
      </c>
      <c r="C15" s="25" t="s">
        <v>31</v>
      </c>
      <c r="D15" s="25" t="s">
        <v>62</v>
      </c>
      <c r="E15" s="27" t="s">
        <v>214</v>
      </c>
      <c r="F15" s="25" t="s">
        <v>63</v>
      </c>
      <c r="G15" s="25" t="s">
        <v>233</v>
      </c>
      <c r="H15" s="27" t="s">
        <v>61</v>
      </c>
      <c r="I15" s="25" t="s">
        <v>247</v>
      </c>
      <c r="J15" s="44">
        <v>39816</v>
      </c>
    </row>
    <row r="16" spans="1:12" s="1" customFormat="1" ht="36" customHeight="1">
      <c r="B16" s="21">
        <v>9</v>
      </c>
      <c r="C16" s="25" t="s">
        <v>31</v>
      </c>
      <c r="D16" s="25" t="s">
        <v>38</v>
      </c>
      <c r="E16" s="27" t="s">
        <v>248</v>
      </c>
      <c r="F16" s="25" t="s">
        <v>63</v>
      </c>
      <c r="G16" s="25" t="str">
        <f t="shared" ref="G16:G21" si="2">IF(H16="جسيمة","عالي",IF(D16&lt;&gt;"اللوحات الداخلية",IF(OR(F16="مخالفات الرخصة ومزاولة النشاط",F16="النظافة العامة",F16="التشوه البصري"),"متوسط","منخفض"),"منخفض"))</f>
        <v>عالي</v>
      </c>
      <c r="H16" s="27" t="s">
        <v>66</v>
      </c>
      <c r="I16" s="25" t="s">
        <v>249</v>
      </c>
      <c r="J16" s="25" t="s">
        <v>67</v>
      </c>
    </row>
    <row r="17" spans="1:12" s="1" customFormat="1" ht="36" customHeight="1">
      <c r="B17" s="21">
        <v>10</v>
      </c>
      <c r="C17" s="25" t="s">
        <v>31</v>
      </c>
      <c r="D17" s="25" t="s">
        <v>38</v>
      </c>
      <c r="E17" s="27" t="s">
        <v>293</v>
      </c>
      <c r="F17" s="25" t="s">
        <v>63</v>
      </c>
      <c r="G17" s="25" t="str">
        <f t="shared" si="2"/>
        <v>منخفض</v>
      </c>
      <c r="H17" s="27" t="s">
        <v>61</v>
      </c>
      <c r="I17" s="25" t="s">
        <v>250</v>
      </c>
      <c r="J17" s="25" t="s">
        <v>68</v>
      </c>
    </row>
    <row r="18" spans="1:12" s="1" customFormat="1" ht="36" customHeight="1">
      <c r="B18" s="21">
        <v>11</v>
      </c>
      <c r="C18" s="25" t="s">
        <v>31</v>
      </c>
      <c r="D18" s="25" t="s">
        <v>38</v>
      </c>
      <c r="E18" s="27" t="s">
        <v>69</v>
      </c>
      <c r="F18" s="25" t="s">
        <v>63</v>
      </c>
      <c r="G18" s="25" t="str">
        <f t="shared" si="2"/>
        <v>منخفض</v>
      </c>
      <c r="H18" s="27" t="s">
        <v>61</v>
      </c>
      <c r="I18" s="25" t="s">
        <v>250</v>
      </c>
      <c r="J18" s="25" t="s">
        <v>68</v>
      </c>
    </row>
    <row r="19" spans="1:12" s="1" customFormat="1" ht="36" customHeight="1">
      <c r="B19" s="21">
        <v>12</v>
      </c>
      <c r="C19" s="25" t="s">
        <v>31</v>
      </c>
      <c r="D19" s="25" t="s">
        <v>38</v>
      </c>
      <c r="E19" s="27" t="s">
        <v>294</v>
      </c>
      <c r="F19" s="25" t="s">
        <v>63</v>
      </c>
      <c r="G19" s="25" t="str">
        <f t="shared" si="2"/>
        <v>عالي</v>
      </c>
      <c r="H19" s="27" t="s">
        <v>66</v>
      </c>
      <c r="I19" s="25" t="s">
        <v>249</v>
      </c>
      <c r="J19" s="25" t="s">
        <v>67</v>
      </c>
    </row>
    <row r="20" spans="1:12" s="1" customFormat="1" ht="36" customHeight="1">
      <c r="B20" s="21">
        <v>13</v>
      </c>
      <c r="C20" s="25" t="s">
        <v>31</v>
      </c>
      <c r="D20" s="25" t="s">
        <v>38</v>
      </c>
      <c r="E20" s="43" t="s">
        <v>295</v>
      </c>
      <c r="F20" s="25" t="s">
        <v>63</v>
      </c>
      <c r="G20" s="25" t="str">
        <f t="shared" si="2"/>
        <v>منخفض</v>
      </c>
      <c r="H20" s="27" t="s">
        <v>61</v>
      </c>
      <c r="I20" s="48" t="s">
        <v>296</v>
      </c>
      <c r="J20" s="43" t="s">
        <v>68</v>
      </c>
    </row>
    <row r="21" spans="1:12" s="1" customFormat="1" ht="36" customHeight="1">
      <c r="B21" s="21">
        <v>14</v>
      </c>
      <c r="C21" s="25" t="s">
        <v>31</v>
      </c>
      <c r="D21" s="25" t="s">
        <v>38</v>
      </c>
      <c r="E21" s="43" t="s">
        <v>297</v>
      </c>
      <c r="F21" s="25" t="s">
        <v>63</v>
      </c>
      <c r="G21" s="25" t="str">
        <f t="shared" si="2"/>
        <v>عالي</v>
      </c>
      <c r="H21" s="27" t="s">
        <v>66</v>
      </c>
      <c r="I21" s="25" t="s">
        <v>249</v>
      </c>
      <c r="J21" s="25" t="s">
        <v>67</v>
      </c>
    </row>
    <row r="22" spans="1:12" s="1" customFormat="1" ht="36" customHeight="1">
      <c r="A22" s="21"/>
      <c r="B22" s="25">
        <v>15</v>
      </c>
      <c r="C22" s="25" t="s">
        <v>31</v>
      </c>
      <c r="D22" s="27" t="s">
        <v>70</v>
      </c>
      <c r="E22" s="25" t="s">
        <v>71</v>
      </c>
      <c r="F22" s="25" t="s">
        <v>63</v>
      </c>
      <c r="G22" s="27" t="str">
        <f t="shared" ref="G22:G26" si="3">IF(H22="جسيمة","عالي",IF(D22&lt;&gt;"اللوحات الداخلية",IF(OR(F22="مخالفات الرخصة ومزاولة النشاط",F22="النظافة العامة",F22="التشوه البصري"),"متوسط","منخفض"),"منخفض"))</f>
        <v>عالي</v>
      </c>
      <c r="H22" s="25" t="s">
        <v>66</v>
      </c>
      <c r="I22" s="25" t="s">
        <v>72</v>
      </c>
      <c r="J22" s="21" t="s">
        <v>73</v>
      </c>
      <c r="K22" s="25"/>
    </row>
    <row r="23" spans="1:12" s="29" customFormat="1" ht="36" customHeight="1">
      <c r="A23" s="21"/>
      <c r="B23" s="25">
        <v>16</v>
      </c>
      <c r="C23" s="25" t="s">
        <v>31</v>
      </c>
      <c r="D23" s="27" t="s">
        <v>44</v>
      </c>
      <c r="E23" s="25" t="s">
        <v>251</v>
      </c>
      <c r="F23" s="25" t="s">
        <v>63</v>
      </c>
      <c r="G23" s="27" t="str">
        <f t="shared" si="3"/>
        <v>منخفض</v>
      </c>
      <c r="H23" s="25" t="s">
        <v>61</v>
      </c>
      <c r="I23" s="25" t="s">
        <v>74</v>
      </c>
      <c r="J23" s="21" t="s">
        <v>75</v>
      </c>
      <c r="K23" s="25"/>
    </row>
    <row r="24" spans="1:12" s="1" customFormat="1" ht="36" customHeight="1">
      <c r="A24" s="21"/>
      <c r="B24" s="25">
        <v>17</v>
      </c>
      <c r="C24" s="25" t="s">
        <v>31</v>
      </c>
      <c r="D24" s="27" t="s">
        <v>47</v>
      </c>
      <c r="E24" s="25" t="s">
        <v>76</v>
      </c>
      <c r="F24" s="25" t="s">
        <v>63</v>
      </c>
      <c r="G24" s="27" t="str">
        <f t="shared" si="3"/>
        <v>منخفض</v>
      </c>
      <c r="H24" s="25" t="s">
        <v>61</v>
      </c>
      <c r="I24" s="25" t="s">
        <v>77</v>
      </c>
      <c r="J24" s="21" t="s">
        <v>78</v>
      </c>
      <c r="K24" s="25"/>
    </row>
    <row r="25" spans="1:12" s="29" customFormat="1" ht="36" customHeight="1">
      <c r="A25" s="21"/>
      <c r="B25" s="25">
        <v>18</v>
      </c>
      <c r="C25" s="25" t="s">
        <v>31</v>
      </c>
      <c r="D25" s="27" t="s">
        <v>47</v>
      </c>
      <c r="E25" s="25" t="s">
        <v>216</v>
      </c>
      <c r="F25" s="25" t="s">
        <v>63</v>
      </c>
      <c r="G25" s="27" t="str">
        <f t="shared" si="3"/>
        <v>منخفض</v>
      </c>
      <c r="H25" s="25" t="s">
        <v>61</v>
      </c>
      <c r="I25" s="25" t="s">
        <v>77</v>
      </c>
      <c r="J25" s="21" t="s">
        <v>78</v>
      </c>
      <c r="K25" s="25"/>
    </row>
    <row r="26" spans="1:12" s="29" customFormat="1" ht="36" customHeight="1">
      <c r="A26" s="21"/>
      <c r="B26" s="25">
        <v>19</v>
      </c>
      <c r="C26" s="25" t="s">
        <v>31</v>
      </c>
      <c r="D26" s="27" t="s">
        <v>47</v>
      </c>
      <c r="E26" s="25" t="s">
        <v>215</v>
      </c>
      <c r="F26" s="25" t="s">
        <v>63</v>
      </c>
      <c r="G26" s="27" t="str">
        <f t="shared" si="3"/>
        <v>منخفض</v>
      </c>
      <c r="H26" s="25" t="s">
        <v>61</v>
      </c>
      <c r="I26" s="25" t="s">
        <v>77</v>
      </c>
      <c r="J26" s="21" t="s">
        <v>78</v>
      </c>
      <c r="K26" s="25"/>
    </row>
    <row r="27" spans="1:12" ht="18">
      <c r="A27" s="21"/>
      <c r="B27" s="25"/>
      <c r="C27" s="25"/>
      <c r="D27" s="27"/>
      <c r="E27" s="25"/>
      <c r="F27" s="25"/>
      <c r="G27" s="27"/>
      <c r="H27" s="25"/>
      <c r="I27" s="25"/>
      <c r="J27" s="21"/>
      <c r="K27" s="25"/>
      <c r="L27"/>
    </row>
    <row r="28" spans="1:12" ht="18">
      <c r="A28" s="21"/>
      <c r="B28" s="25"/>
      <c r="C28" s="25"/>
      <c r="D28" s="27"/>
      <c r="E28" s="25"/>
      <c r="F28" s="25"/>
      <c r="G28" s="27"/>
      <c r="H28" s="25"/>
      <c r="I28" s="25"/>
      <c r="J28" s="21"/>
      <c r="K28" s="25"/>
      <c r="L28"/>
    </row>
    <row r="29" spans="1:12" ht="52.8">
      <c r="B29" s="12" t="s">
        <v>0</v>
      </c>
      <c r="C29" s="12" t="s">
        <v>1</v>
      </c>
      <c r="D29" s="12" t="s">
        <v>2</v>
      </c>
      <c r="E29" s="12" t="s">
        <v>3</v>
      </c>
      <c r="F29" s="12" t="s">
        <v>55</v>
      </c>
      <c r="G29" s="12" t="s">
        <v>56</v>
      </c>
      <c r="H29" s="12" t="s">
        <v>57</v>
      </c>
      <c r="I29" s="13" t="s">
        <v>58</v>
      </c>
      <c r="J29" s="13" t="s">
        <v>59</v>
      </c>
    </row>
    <row r="30" spans="1:12" ht="36" customHeight="1">
      <c r="B30" s="30">
        <f>ROW()-11</f>
        <v>19</v>
      </c>
      <c r="C30" s="30" t="s">
        <v>81</v>
      </c>
      <c r="D30" s="30" t="s">
        <v>82</v>
      </c>
      <c r="E30" s="30" t="s">
        <v>83</v>
      </c>
      <c r="F30" s="30" t="s">
        <v>60</v>
      </c>
      <c r="G30" s="30" t="str">
        <f t="shared" ref="G30:G41" si="4">IF(H30="جسيمة","عالي",IF(D30&lt;&gt;"اللوحات الداخلية",IF(OR(F30="مخالفات الرخصة ومزاولة النشاط",F30="النظافة العامة",F30="التشوه البصري"),"متوسط","منخفض"),"منخفض"))</f>
        <v>عالي</v>
      </c>
      <c r="H30" s="30" t="s">
        <v>66</v>
      </c>
      <c r="I30" s="30" t="s">
        <v>84</v>
      </c>
      <c r="J30" s="30" t="s">
        <v>85</v>
      </c>
    </row>
    <row r="31" spans="1:12" ht="36" customHeight="1">
      <c r="B31" s="30">
        <f t="shared" ref="B31:B41" si="5">ROW()-11</f>
        <v>20</v>
      </c>
      <c r="C31" s="30" t="s">
        <v>81</v>
      </c>
      <c r="D31" s="30" t="s">
        <v>82</v>
      </c>
      <c r="E31" s="30" t="s">
        <v>86</v>
      </c>
      <c r="F31" s="30" t="s">
        <v>60</v>
      </c>
      <c r="G31" s="30" t="str">
        <f t="shared" si="4"/>
        <v>عالي</v>
      </c>
      <c r="H31" s="30" t="s">
        <v>66</v>
      </c>
      <c r="I31" s="30" t="s">
        <v>87</v>
      </c>
      <c r="J31" s="30" t="s">
        <v>88</v>
      </c>
    </row>
    <row r="32" spans="1:12" ht="36" customHeight="1">
      <c r="B32" s="30">
        <f t="shared" si="5"/>
        <v>21</v>
      </c>
      <c r="C32" s="30" t="s">
        <v>81</v>
      </c>
      <c r="D32" s="30" t="s">
        <v>82</v>
      </c>
      <c r="E32" s="30" t="s">
        <v>89</v>
      </c>
      <c r="F32" s="30" t="s">
        <v>60</v>
      </c>
      <c r="G32" s="30" t="str">
        <f t="shared" si="4"/>
        <v>متوسط</v>
      </c>
      <c r="H32" s="30" t="s">
        <v>61</v>
      </c>
      <c r="I32" s="30" t="s">
        <v>90</v>
      </c>
      <c r="J32" s="30" t="s">
        <v>91</v>
      </c>
    </row>
    <row r="33" spans="1:12" ht="36" customHeight="1">
      <c r="B33" s="30">
        <f t="shared" si="5"/>
        <v>22</v>
      </c>
      <c r="C33" s="30" t="s">
        <v>81</v>
      </c>
      <c r="D33" s="30" t="s">
        <v>82</v>
      </c>
      <c r="E33" s="30" t="s">
        <v>92</v>
      </c>
      <c r="F33" s="30" t="s">
        <v>60</v>
      </c>
      <c r="G33" s="30" t="str">
        <f t="shared" si="4"/>
        <v>عالي</v>
      </c>
      <c r="H33" s="30" t="s">
        <v>66</v>
      </c>
      <c r="I33" s="30" t="s">
        <v>93</v>
      </c>
      <c r="J33" s="30" t="s">
        <v>236</v>
      </c>
    </row>
    <row r="34" spans="1:12" ht="36" customHeight="1">
      <c r="B34" s="30">
        <f t="shared" si="5"/>
        <v>23</v>
      </c>
      <c r="C34" s="30" t="s">
        <v>81</v>
      </c>
      <c r="D34" s="30" t="s">
        <v>82</v>
      </c>
      <c r="E34" s="30" t="s">
        <v>252</v>
      </c>
      <c r="F34" s="30" t="s">
        <v>60</v>
      </c>
      <c r="G34" s="30" t="str">
        <f t="shared" si="4"/>
        <v>عالي</v>
      </c>
      <c r="H34" s="30" t="s">
        <v>66</v>
      </c>
      <c r="I34" s="30" t="s">
        <v>94</v>
      </c>
      <c r="J34" s="30" t="s">
        <v>95</v>
      </c>
    </row>
    <row r="35" spans="1:12" ht="36" customHeight="1">
      <c r="B35" s="30">
        <f t="shared" si="5"/>
        <v>24</v>
      </c>
      <c r="C35" s="30" t="s">
        <v>81</v>
      </c>
      <c r="D35" s="30" t="s">
        <v>82</v>
      </c>
      <c r="E35" s="30" t="s">
        <v>96</v>
      </c>
      <c r="F35" s="30" t="s">
        <v>60</v>
      </c>
      <c r="G35" s="30" t="str">
        <f t="shared" si="4"/>
        <v>عالي</v>
      </c>
      <c r="H35" s="30" t="s">
        <v>66</v>
      </c>
      <c r="I35" s="30" t="s">
        <v>97</v>
      </c>
      <c r="J35" s="30" t="s">
        <v>98</v>
      </c>
    </row>
    <row r="36" spans="1:12" ht="36" customHeight="1">
      <c r="B36" s="30">
        <f t="shared" si="5"/>
        <v>25</v>
      </c>
      <c r="C36" s="30" t="s">
        <v>81</v>
      </c>
      <c r="D36" s="30" t="s">
        <v>82</v>
      </c>
      <c r="E36" s="30" t="s">
        <v>99</v>
      </c>
      <c r="F36" s="30" t="s">
        <v>60</v>
      </c>
      <c r="G36" s="30" t="str">
        <f t="shared" si="4"/>
        <v>عالي</v>
      </c>
      <c r="H36" s="30" t="s">
        <v>66</v>
      </c>
      <c r="I36" s="30" t="s">
        <v>100</v>
      </c>
      <c r="J36" s="30" t="s">
        <v>101</v>
      </c>
    </row>
    <row r="37" spans="1:12" ht="36" customHeight="1">
      <c r="B37" s="30">
        <f t="shared" si="5"/>
        <v>26</v>
      </c>
      <c r="C37" s="30" t="s">
        <v>81</v>
      </c>
      <c r="D37" s="30" t="s">
        <v>82</v>
      </c>
      <c r="E37" s="30" t="s">
        <v>102</v>
      </c>
      <c r="F37" s="30" t="s">
        <v>103</v>
      </c>
      <c r="G37" s="30" t="str">
        <f t="shared" si="4"/>
        <v>متوسط</v>
      </c>
      <c r="H37" s="30" t="s">
        <v>61</v>
      </c>
      <c r="I37" s="30" t="s">
        <v>104</v>
      </c>
      <c r="J37" s="30" t="s">
        <v>105</v>
      </c>
    </row>
    <row r="38" spans="1:12" ht="36" customHeight="1">
      <c r="B38" s="30">
        <f t="shared" si="5"/>
        <v>27</v>
      </c>
      <c r="C38" s="30" t="s">
        <v>81</v>
      </c>
      <c r="D38" s="30" t="s">
        <v>82</v>
      </c>
      <c r="E38" s="30" t="s">
        <v>253</v>
      </c>
      <c r="F38" s="30" t="s">
        <v>60</v>
      </c>
      <c r="G38" s="30" t="str">
        <f t="shared" si="4"/>
        <v>متوسط</v>
      </c>
      <c r="H38" s="30" t="s">
        <v>61</v>
      </c>
      <c r="I38" s="30" t="s">
        <v>106</v>
      </c>
      <c r="J38" s="30" t="s">
        <v>107</v>
      </c>
    </row>
    <row r="39" spans="1:12" ht="36" customHeight="1">
      <c r="B39" s="30">
        <f t="shared" si="5"/>
        <v>28</v>
      </c>
      <c r="C39" s="30" t="s">
        <v>81</v>
      </c>
      <c r="D39" s="30" t="s">
        <v>82</v>
      </c>
      <c r="E39" s="30" t="s">
        <v>108</v>
      </c>
      <c r="F39" s="30" t="s">
        <v>60</v>
      </c>
      <c r="G39" s="30" t="str">
        <f t="shared" si="4"/>
        <v>متوسط</v>
      </c>
      <c r="H39" s="30" t="s">
        <v>61</v>
      </c>
      <c r="I39" s="30" t="s">
        <v>109</v>
      </c>
      <c r="J39" s="30" t="s">
        <v>110</v>
      </c>
    </row>
    <row r="40" spans="1:12" ht="36" customHeight="1">
      <c r="B40" s="30">
        <f t="shared" si="5"/>
        <v>29</v>
      </c>
      <c r="C40" s="30" t="s">
        <v>81</v>
      </c>
      <c r="D40" s="30" t="s">
        <v>82</v>
      </c>
      <c r="E40" s="30" t="s">
        <v>111</v>
      </c>
      <c r="F40" s="30" t="s">
        <v>60</v>
      </c>
      <c r="G40" s="30" t="str">
        <f t="shared" si="4"/>
        <v>متوسط</v>
      </c>
      <c r="H40" s="30" t="s">
        <v>61</v>
      </c>
      <c r="I40" s="30" t="s">
        <v>112</v>
      </c>
      <c r="J40" s="30" t="s">
        <v>113</v>
      </c>
    </row>
    <row r="41" spans="1:12" ht="36" customHeight="1">
      <c r="B41" s="30">
        <f t="shared" si="5"/>
        <v>30</v>
      </c>
      <c r="C41" s="30" t="s">
        <v>81</v>
      </c>
      <c r="D41" s="30" t="s">
        <v>82</v>
      </c>
      <c r="E41" s="30" t="s">
        <v>254</v>
      </c>
      <c r="F41" s="30" t="s">
        <v>126</v>
      </c>
      <c r="G41" s="30" t="str">
        <f t="shared" si="4"/>
        <v>عالي</v>
      </c>
      <c r="H41" s="30" t="s">
        <v>66</v>
      </c>
      <c r="I41" s="30" t="s">
        <v>255</v>
      </c>
      <c r="J41" s="31">
        <v>11691</v>
      </c>
    </row>
    <row r="42" spans="1:12" ht="36" customHeight="1">
      <c r="B42" s="32">
        <v>33</v>
      </c>
      <c r="C42" s="30" t="s">
        <v>81</v>
      </c>
      <c r="D42" s="30" t="s">
        <v>82</v>
      </c>
      <c r="E42" s="32" t="s">
        <v>298</v>
      </c>
      <c r="F42" s="8" t="s">
        <v>60</v>
      </c>
      <c r="G42" s="32" t="s">
        <v>257</v>
      </c>
      <c r="H42" s="8" t="s">
        <v>61</v>
      </c>
      <c r="I42" s="8" t="s">
        <v>256</v>
      </c>
      <c r="J42" s="31">
        <v>14248</v>
      </c>
    </row>
    <row r="43" spans="1:12" s="1" customFormat="1" ht="36" customHeight="1">
      <c r="A43" s="8"/>
      <c r="B43" s="8">
        <v>34</v>
      </c>
      <c r="C43" s="8" t="s">
        <v>81</v>
      </c>
      <c r="D43" s="8" t="s">
        <v>82</v>
      </c>
      <c r="E43" s="8" t="s">
        <v>299</v>
      </c>
      <c r="F43" s="8" t="s">
        <v>60</v>
      </c>
      <c r="G43" s="8" t="str">
        <f t="shared" ref="G43:G69" si="6">IF(H43="جسيمة","عالي",IF(D43&lt;&gt;"اللوحات الداخلية",IF(OR(F43="مخالفات الرخصة ومزاولة النشاط",F43="النظافة العامة",F43="التشوه البصري"),"متوسط","منخفض"),"منخفض"))</f>
        <v>متوسط</v>
      </c>
      <c r="H43" s="8" t="s">
        <v>61</v>
      </c>
      <c r="I43" s="8" t="s">
        <v>256</v>
      </c>
      <c r="J43" s="31">
        <v>14248</v>
      </c>
    </row>
    <row r="44" spans="1:12" s="1" customFormat="1" ht="36" customHeight="1">
      <c r="A44" s="8"/>
      <c r="B44" s="8">
        <v>35</v>
      </c>
      <c r="C44" s="8" t="s">
        <v>81</v>
      </c>
      <c r="D44" s="8" t="s">
        <v>82</v>
      </c>
      <c r="E44" s="8" t="s">
        <v>300</v>
      </c>
      <c r="F44" s="8" t="s">
        <v>60</v>
      </c>
      <c r="G44" s="8" t="str">
        <f t="shared" si="6"/>
        <v>متوسط</v>
      </c>
      <c r="H44" s="8" t="s">
        <v>61</v>
      </c>
      <c r="I44" s="8" t="s">
        <v>301</v>
      </c>
      <c r="J44" s="31">
        <v>39328</v>
      </c>
    </row>
    <row r="45" spans="1:12" s="1" customFormat="1" ht="36" customHeight="1">
      <c r="A45" s="8"/>
      <c r="B45" s="8">
        <v>36</v>
      </c>
      <c r="C45" s="8" t="s">
        <v>81</v>
      </c>
      <c r="D45" s="8" t="s">
        <v>82</v>
      </c>
      <c r="E45" s="8" t="s">
        <v>302</v>
      </c>
      <c r="F45" s="8" t="s">
        <v>60</v>
      </c>
      <c r="G45" s="8" t="str">
        <f t="shared" si="6"/>
        <v>متوسط</v>
      </c>
      <c r="H45" s="8" t="s">
        <v>61</v>
      </c>
      <c r="I45" s="8" t="s">
        <v>256</v>
      </c>
      <c r="J45" s="31">
        <v>14248</v>
      </c>
    </row>
    <row r="46" spans="1:12" s="29" customFormat="1" ht="36" customHeight="1">
      <c r="A46" s="28"/>
      <c r="B46" s="28">
        <v>37</v>
      </c>
      <c r="C46" s="28" t="s">
        <v>81</v>
      </c>
      <c r="D46" s="28" t="s">
        <v>82</v>
      </c>
      <c r="E46" s="28" t="s">
        <v>114</v>
      </c>
      <c r="F46" s="28" t="s">
        <v>60</v>
      </c>
      <c r="G46" s="28" t="str">
        <f t="shared" si="6"/>
        <v>متوسط</v>
      </c>
      <c r="H46" s="8" t="s">
        <v>61</v>
      </c>
      <c r="I46" s="8" t="s">
        <v>256</v>
      </c>
      <c r="J46" s="31">
        <v>14248</v>
      </c>
    </row>
    <row r="47" spans="1:12" s="29" customFormat="1" ht="36" customHeight="1">
      <c r="A47" s="28"/>
      <c r="B47" s="28">
        <v>38</v>
      </c>
      <c r="C47" s="28" t="s">
        <v>81</v>
      </c>
      <c r="D47" s="28" t="s">
        <v>82</v>
      </c>
      <c r="E47" s="28" t="s">
        <v>217</v>
      </c>
      <c r="F47" s="28" t="s">
        <v>60</v>
      </c>
      <c r="G47" s="8" t="str">
        <f t="shared" ref="G47:G50" si="7">IF(H47="جسيمة","عالي",IF(D47&lt;&gt;"اللوحات الداخلية",IF(OR(F47="مخالفات الرخصة ومزاولة النشاط",F47="النظافة العامة",F47="التشوه البصري"),"متوسط","منخفض"),"منخفض"))</f>
        <v>عالي</v>
      </c>
      <c r="H47" s="30" t="s">
        <v>66</v>
      </c>
      <c r="I47" s="8" t="s">
        <v>266</v>
      </c>
      <c r="J47" s="38">
        <v>44929</v>
      </c>
    </row>
    <row r="48" spans="1:12" s="35" customFormat="1" ht="36" customHeight="1">
      <c r="A48" s="28"/>
      <c r="B48" s="28">
        <v>39</v>
      </c>
      <c r="C48" s="28" t="s">
        <v>81</v>
      </c>
      <c r="D48" s="28" t="s">
        <v>82</v>
      </c>
      <c r="E48" s="28" t="s">
        <v>218</v>
      </c>
      <c r="F48" s="28" t="s">
        <v>60</v>
      </c>
      <c r="G48" s="8" t="str">
        <f t="shared" si="7"/>
        <v>عالي</v>
      </c>
      <c r="H48" s="30" t="s">
        <v>66</v>
      </c>
      <c r="I48" s="8" t="s">
        <v>266</v>
      </c>
      <c r="J48" s="38">
        <v>44929</v>
      </c>
      <c r="K48" s="34"/>
      <c r="L48" s="34"/>
    </row>
    <row r="49" spans="1:12" s="35" customFormat="1" ht="36" customHeight="1">
      <c r="A49" s="28"/>
      <c r="B49" s="28">
        <v>40</v>
      </c>
      <c r="C49" s="28" t="s">
        <v>81</v>
      </c>
      <c r="D49" s="28" t="s">
        <v>82</v>
      </c>
      <c r="E49" s="28" t="s">
        <v>115</v>
      </c>
      <c r="F49" s="28" t="s">
        <v>60</v>
      </c>
      <c r="G49" s="50" t="str">
        <f t="shared" si="7"/>
        <v>متوسط</v>
      </c>
      <c r="H49" s="50" t="s">
        <v>61</v>
      </c>
      <c r="I49" s="50" t="s">
        <v>79</v>
      </c>
      <c r="J49" s="51" t="s">
        <v>80</v>
      </c>
      <c r="K49" s="34"/>
      <c r="L49" s="34"/>
    </row>
    <row r="50" spans="1:12" s="35" customFormat="1" ht="36" customHeight="1">
      <c r="A50" s="28"/>
      <c r="B50" s="28">
        <v>41</v>
      </c>
      <c r="C50" s="28" t="s">
        <v>81</v>
      </c>
      <c r="D50" s="28" t="s">
        <v>82</v>
      </c>
      <c r="E50" s="28" t="s">
        <v>219</v>
      </c>
      <c r="F50" s="28" t="s">
        <v>60</v>
      </c>
      <c r="G50" s="50" t="str">
        <f t="shared" si="7"/>
        <v>متوسط</v>
      </c>
      <c r="H50" s="50" t="s">
        <v>61</v>
      </c>
      <c r="I50" s="50" t="s">
        <v>79</v>
      </c>
      <c r="J50" s="51" t="s">
        <v>80</v>
      </c>
      <c r="K50" s="34"/>
      <c r="L50" s="34"/>
    </row>
    <row r="51" spans="1:12" s="35" customFormat="1" ht="36" customHeight="1">
      <c r="A51" s="28"/>
      <c r="B51" s="28">
        <v>42</v>
      </c>
      <c r="C51" s="28" t="s">
        <v>81</v>
      </c>
      <c r="D51" s="28" t="s">
        <v>82</v>
      </c>
      <c r="E51" s="28" t="s">
        <v>116</v>
      </c>
      <c r="F51" s="28" t="s">
        <v>60</v>
      </c>
      <c r="G51" s="50" t="str">
        <f t="shared" ref="G51:G52" si="8">IF(H51="جسيمة","عالي",IF(D51&lt;&gt;"اللوحات الداخلية",IF(OR(F51="مخالفات الرخصة ومزاولة النشاط",F51="النظافة العامة",F51="التشوه البصري"),"متوسط","منخفض"),"منخفض"))</f>
        <v>متوسط</v>
      </c>
      <c r="H51" s="50" t="s">
        <v>61</v>
      </c>
      <c r="I51" s="50" t="s">
        <v>79</v>
      </c>
      <c r="J51" s="51" t="s">
        <v>80</v>
      </c>
      <c r="K51" s="34"/>
      <c r="L51" s="34"/>
    </row>
    <row r="52" spans="1:12" s="35" customFormat="1" ht="36" customHeight="1">
      <c r="A52" s="28"/>
      <c r="B52" s="28">
        <v>43</v>
      </c>
      <c r="C52" s="28" t="s">
        <v>81</v>
      </c>
      <c r="D52" s="28" t="s">
        <v>82</v>
      </c>
      <c r="E52" s="28" t="s">
        <v>303</v>
      </c>
      <c r="F52" s="28" t="s">
        <v>60</v>
      </c>
      <c r="G52" s="50" t="str">
        <f t="shared" si="8"/>
        <v>متوسط</v>
      </c>
      <c r="H52" s="50" t="s">
        <v>61</v>
      </c>
      <c r="I52" s="52" t="s">
        <v>304</v>
      </c>
      <c r="J52" s="53" t="s">
        <v>305</v>
      </c>
      <c r="K52" s="34"/>
      <c r="L52" s="34"/>
    </row>
    <row r="53" spans="1:12" ht="36" customHeight="1">
      <c r="A53" s="8"/>
      <c r="B53" s="8">
        <v>44</v>
      </c>
      <c r="C53" s="8" t="s">
        <v>81</v>
      </c>
      <c r="D53" s="8" t="s">
        <v>82</v>
      </c>
      <c r="E53" s="8" t="s">
        <v>220</v>
      </c>
      <c r="F53" s="8" t="s">
        <v>60</v>
      </c>
      <c r="G53" s="8" t="str">
        <f t="shared" si="6"/>
        <v>متوسط</v>
      </c>
      <c r="H53" s="8" t="s">
        <v>61</v>
      </c>
      <c r="I53" s="8" t="s">
        <v>258</v>
      </c>
      <c r="J53" s="38">
        <v>11326</v>
      </c>
      <c r="K53" s="14"/>
      <c r="L53" s="14"/>
    </row>
    <row r="54" spans="1:12" ht="36" customHeight="1">
      <c r="A54" s="8"/>
      <c r="B54" s="8">
        <v>45</v>
      </c>
      <c r="C54" s="8" t="s">
        <v>81</v>
      </c>
      <c r="D54" s="8" t="s">
        <v>82</v>
      </c>
      <c r="E54" s="8" t="s">
        <v>221</v>
      </c>
      <c r="F54" s="8" t="s">
        <v>60</v>
      </c>
      <c r="G54" s="8" t="str">
        <f t="shared" ref="G54:G55" si="9">IF(H54="جسيمة","عالي",IF(D54&lt;&gt;"اللوحات الداخلية",IF(OR(F54="مخالفات الرخصة ومزاولة النشاط",F54="النظافة العامة",F54="التشوه البصري"),"متوسط","منخفض"),"منخفض"))</f>
        <v>متوسط</v>
      </c>
      <c r="H54" s="8" t="s">
        <v>61</v>
      </c>
      <c r="I54" s="8" t="s">
        <v>256</v>
      </c>
      <c r="J54" s="31">
        <v>14248</v>
      </c>
      <c r="K54" s="14"/>
      <c r="L54" s="14"/>
    </row>
    <row r="55" spans="1:12" ht="36" customHeight="1">
      <c r="A55" s="8"/>
      <c r="B55" s="8">
        <v>46</v>
      </c>
      <c r="C55" s="8" t="s">
        <v>81</v>
      </c>
      <c r="D55" s="8" t="s">
        <v>82</v>
      </c>
      <c r="E55" s="8" t="s">
        <v>222</v>
      </c>
      <c r="F55" s="8" t="s">
        <v>60</v>
      </c>
      <c r="G55" s="28" t="str">
        <f t="shared" si="9"/>
        <v>عالي</v>
      </c>
      <c r="H55" s="30" t="s">
        <v>66</v>
      </c>
      <c r="I55" s="8" t="s">
        <v>269</v>
      </c>
      <c r="J55" s="31">
        <v>40914</v>
      </c>
      <c r="K55" s="14"/>
      <c r="L55" s="14"/>
    </row>
    <row r="56" spans="1:12" ht="36" customHeight="1">
      <c r="A56" s="8"/>
      <c r="B56" s="8">
        <v>47</v>
      </c>
      <c r="C56" s="8"/>
      <c r="D56" s="8" t="s">
        <v>82</v>
      </c>
      <c r="E56" s="8" t="s">
        <v>260</v>
      </c>
      <c r="F56" s="8" t="s">
        <v>60</v>
      </c>
      <c r="G56" s="8" t="str">
        <f t="shared" ref="G56:G57" si="10">IF(H56="جسيمة","عالي",IF(D56&lt;&gt;"اللوحات الداخلية",IF(OR(F56="مخالفات الرخصة ومزاولة النشاط",F56="النظافة العامة",F56="التشوه البصري"),"متوسط","منخفض"),"منخفض"))</f>
        <v>متوسط</v>
      </c>
      <c r="H56" s="8" t="s">
        <v>61</v>
      </c>
      <c r="I56" s="8" t="s">
        <v>174</v>
      </c>
      <c r="J56" s="39">
        <v>37625</v>
      </c>
      <c r="K56" s="14"/>
      <c r="L56" s="14"/>
    </row>
    <row r="57" spans="1:12" ht="36" customHeight="1">
      <c r="A57" s="8"/>
      <c r="B57" s="8">
        <v>48</v>
      </c>
      <c r="C57" s="8"/>
      <c r="D57" s="8" t="s">
        <v>82</v>
      </c>
      <c r="E57" s="8" t="s">
        <v>259</v>
      </c>
      <c r="F57" s="8" t="s">
        <v>60</v>
      </c>
      <c r="G57" s="28" t="str">
        <f t="shared" si="10"/>
        <v>عالي</v>
      </c>
      <c r="H57" s="30" t="s">
        <v>66</v>
      </c>
      <c r="I57" s="8" t="s">
        <v>269</v>
      </c>
      <c r="J57" s="31">
        <v>40914</v>
      </c>
      <c r="K57" s="14"/>
      <c r="L57" s="14"/>
    </row>
    <row r="58" spans="1:12" ht="36" customHeight="1">
      <c r="A58" s="8"/>
      <c r="B58" s="8">
        <v>49</v>
      </c>
      <c r="C58" s="8" t="s">
        <v>81</v>
      </c>
      <c r="D58" s="8" t="s">
        <v>82</v>
      </c>
      <c r="E58" s="8" t="s">
        <v>261</v>
      </c>
      <c r="F58" s="8" t="s">
        <v>60</v>
      </c>
      <c r="G58" s="8" t="str">
        <f t="shared" si="6"/>
        <v>متوسط</v>
      </c>
      <c r="H58" s="8" t="s">
        <v>61</v>
      </c>
      <c r="I58" s="8" t="s">
        <v>176</v>
      </c>
      <c r="J58" s="38">
        <v>37990</v>
      </c>
    </row>
    <row r="59" spans="1:12" ht="36" customHeight="1">
      <c r="A59" s="8"/>
      <c r="B59" s="8">
        <v>50</v>
      </c>
      <c r="C59" s="8" t="s">
        <v>81</v>
      </c>
      <c r="D59" s="8" t="s">
        <v>82</v>
      </c>
      <c r="E59" s="8" t="s">
        <v>117</v>
      </c>
      <c r="F59" s="8" t="s">
        <v>60</v>
      </c>
      <c r="G59" s="8" t="str">
        <f t="shared" si="6"/>
        <v>متوسط</v>
      </c>
      <c r="H59" s="8" t="s">
        <v>61</v>
      </c>
      <c r="I59" s="8" t="s">
        <v>256</v>
      </c>
      <c r="J59" s="31">
        <v>14248</v>
      </c>
    </row>
    <row r="60" spans="1:12" s="35" customFormat="1" ht="36" customHeight="1">
      <c r="A60" s="28"/>
      <c r="B60" s="28">
        <v>51</v>
      </c>
      <c r="C60" s="28" t="s">
        <v>81</v>
      </c>
      <c r="D60" s="28" t="s">
        <v>82</v>
      </c>
      <c r="E60" s="28" t="s">
        <v>262</v>
      </c>
      <c r="F60" s="28" t="s">
        <v>60</v>
      </c>
      <c r="G60" s="28" t="str">
        <f t="shared" si="6"/>
        <v>متوسط</v>
      </c>
      <c r="H60" s="28" t="s">
        <v>61</v>
      </c>
      <c r="I60" s="28" t="s">
        <v>263</v>
      </c>
      <c r="J60" s="37">
        <v>12422</v>
      </c>
      <c r="K60" s="29"/>
      <c r="L60" s="29"/>
    </row>
    <row r="61" spans="1:12" s="35" customFormat="1" ht="36" customHeight="1">
      <c r="A61" s="28"/>
      <c r="B61" s="28">
        <v>52</v>
      </c>
      <c r="C61" s="28" t="s">
        <v>81</v>
      </c>
      <c r="D61" s="28" t="s">
        <v>82</v>
      </c>
      <c r="E61" s="28" t="s">
        <v>223</v>
      </c>
      <c r="F61" s="28" t="s">
        <v>60</v>
      </c>
      <c r="G61" s="28" t="str">
        <f t="shared" si="6"/>
        <v>متوسط</v>
      </c>
      <c r="H61" s="28" t="s">
        <v>61</v>
      </c>
      <c r="I61" s="28" t="s">
        <v>264</v>
      </c>
      <c r="J61" s="37">
        <v>43468</v>
      </c>
      <c r="K61" s="29"/>
      <c r="L61" s="29"/>
    </row>
    <row r="62" spans="1:12" ht="36" customHeight="1">
      <c r="A62" s="8"/>
      <c r="B62" s="8">
        <v>53</v>
      </c>
      <c r="C62" s="8" t="s">
        <v>81</v>
      </c>
      <c r="D62" s="8" t="s">
        <v>82</v>
      </c>
      <c r="E62" s="8" t="s">
        <v>265</v>
      </c>
      <c r="F62" s="8" t="s">
        <v>60</v>
      </c>
      <c r="G62" s="8" t="str">
        <f t="shared" si="6"/>
        <v>عالي</v>
      </c>
      <c r="H62" s="30" t="s">
        <v>66</v>
      </c>
      <c r="I62" s="8" t="s">
        <v>266</v>
      </c>
      <c r="J62" s="38">
        <v>44929</v>
      </c>
    </row>
    <row r="63" spans="1:12" s="1" customFormat="1" ht="36" customHeight="1">
      <c r="A63" s="8"/>
      <c r="B63" s="8">
        <v>54</v>
      </c>
      <c r="C63" s="8" t="s">
        <v>81</v>
      </c>
      <c r="D63" s="8" t="s">
        <v>82</v>
      </c>
      <c r="E63" s="8" t="s">
        <v>118</v>
      </c>
      <c r="F63" s="8" t="s">
        <v>60</v>
      </c>
      <c r="G63" s="8" t="str">
        <f t="shared" ref="G63" si="11">IF(H63="جسيمة","عالي",IF(D63&lt;&gt;"اللوحات الداخلية",IF(OR(F63="مخالفات الرخصة ومزاولة النشاط",F63="النظافة العامة",F63="التشوه البصري"),"متوسط","منخفض"),"منخفض"))</f>
        <v>عالي</v>
      </c>
      <c r="H63" s="30" t="s">
        <v>66</v>
      </c>
      <c r="I63" s="8" t="s">
        <v>266</v>
      </c>
      <c r="J63" s="38">
        <v>44929</v>
      </c>
    </row>
    <row r="64" spans="1:12" s="29" customFormat="1" ht="36" customHeight="1">
      <c r="A64" s="28"/>
      <c r="B64" s="28">
        <v>55</v>
      </c>
      <c r="C64" s="28" t="s">
        <v>81</v>
      </c>
      <c r="D64" s="28" t="s">
        <v>82</v>
      </c>
      <c r="E64" s="28" t="s">
        <v>267</v>
      </c>
      <c r="F64" s="28" t="s">
        <v>60</v>
      </c>
      <c r="G64" s="8" t="str">
        <f t="shared" ref="G64:G66" si="12">IF(H64="جسيمة","عالي",IF(D64&lt;&gt;"اللوحات الداخلية",IF(OR(F64="مخالفات الرخصة ومزاولة النشاط",F64="النظافة العامة",F64="التشوه البصري"),"متوسط","منخفض"),"منخفض"))</f>
        <v>عالي</v>
      </c>
      <c r="H64" s="30" t="s">
        <v>66</v>
      </c>
      <c r="I64" s="28" t="s">
        <v>268</v>
      </c>
      <c r="J64" s="37">
        <v>37992</v>
      </c>
    </row>
    <row r="65" spans="1:10" s="29" customFormat="1" ht="36" customHeight="1">
      <c r="A65" s="28"/>
      <c r="B65" s="28">
        <v>56</v>
      </c>
      <c r="C65" s="28" t="s">
        <v>81</v>
      </c>
      <c r="D65" s="28" t="s">
        <v>82</v>
      </c>
      <c r="E65" s="28" t="s">
        <v>119</v>
      </c>
      <c r="F65" s="28" t="s">
        <v>60</v>
      </c>
      <c r="G65" s="8" t="str">
        <f t="shared" si="12"/>
        <v>عالي</v>
      </c>
      <c r="H65" s="30" t="s">
        <v>66</v>
      </c>
      <c r="I65" s="8" t="s">
        <v>266</v>
      </c>
      <c r="J65" s="38">
        <v>44929</v>
      </c>
    </row>
    <row r="66" spans="1:10" s="1" customFormat="1" ht="36" customHeight="1">
      <c r="A66" s="8"/>
      <c r="B66" s="8">
        <v>57</v>
      </c>
      <c r="C66" s="8" t="s">
        <v>81</v>
      </c>
      <c r="D66" s="8" t="s">
        <v>82</v>
      </c>
      <c r="E66" s="8" t="s">
        <v>270</v>
      </c>
      <c r="F66" s="8" t="s">
        <v>60</v>
      </c>
      <c r="G66" s="8" t="str">
        <f t="shared" si="12"/>
        <v>عالي</v>
      </c>
      <c r="H66" s="30" t="s">
        <v>66</v>
      </c>
      <c r="I66" s="8" t="s">
        <v>266</v>
      </c>
      <c r="J66" s="38">
        <v>44929</v>
      </c>
    </row>
    <row r="67" spans="1:10" s="1" customFormat="1" ht="36" customHeight="1">
      <c r="A67" s="8"/>
      <c r="B67" s="8">
        <v>58</v>
      </c>
      <c r="C67" s="28" t="s">
        <v>81</v>
      </c>
      <c r="D67" s="28" t="s">
        <v>82</v>
      </c>
      <c r="E67" s="8" t="s">
        <v>271</v>
      </c>
      <c r="F67" s="28" t="s">
        <v>60</v>
      </c>
      <c r="G67" s="8" t="str">
        <f t="shared" ref="G67" si="13">IF(H67="جسيمة","عالي",IF(D67&lt;&gt;"اللوحات الداخلية",IF(OR(F67="مخالفات الرخصة ومزاولة النشاط",F67="النظافة العامة",F67="التشوه البصري"),"متوسط","منخفض"),"منخفض"))</f>
        <v>عالي</v>
      </c>
      <c r="H67" s="30" t="s">
        <v>66</v>
      </c>
      <c r="I67" s="28" t="s">
        <v>268</v>
      </c>
      <c r="J67" s="37">
        <v>37992</v>
      </c>
    </row>
    <row r="68" spans="1:10" s="1" customFormat="1" ht="36" customHeight="1">
      <c r="A68" s="8"/>
      <c r="B68" s="8">
        <v>59</v>
      </c>
      <c r="C68" s="8" t="s">
        <v>81</v>
      </c>
      <c r="D68" s="8" t="s">
        <v>82</v>
      </c>
      <c r="E68" s="8" t="s">
        <v>272</v>
      </c>
      <c r="F68" s="8" t="s">
        <v>60</v>
      </c>
      <c r="G68" s="8" t="str">
        <f t="shared" ref="G68" si="14">IF(H68="جسيمة","عالي",IF(D68&lt;&gt;"اللوحات الداخلية",IF(OR(F68="مخالفات الرخصة ومزاولة النشاط",F68="النظافة العامة",F68="التشوه البصري"),"متوسط","منخفض"),"منخفض"))</f>
        <v>عالي</v>
      </c>
      <c r="H68" s="30" t="s">
        <v>66</v>
      </c>
      <c r="I68" s="8" t="s">
        <v>273</v>
      </c>
      <c r="J68" s="38">
        <v>42010</v>
      </c>
    </row>
    <row r="69" spans="1:10" s="29" customFormat="1" ht="36" customHeight="1">
      <c r="A69" s="28"/>
      <c r="B69" s="28">
        <v>60</v>
      </c>
      <c r="C69" s="28" t="s">
        <v>81</v>
      </c>
      <c r="D69" s="28" t="s">
        <v>82</v>
      </c>
      <c r="E69" s="28" t="s">
        <v>224</v>
      </c>
      <c r="F69" s="28" t="s">
        <v>60</v>
      </c>
      <c r="G69" s="28" t="str">
        <f t="shared" si="6"/>
        <v>متوسط</v>
      </c>
      <c r="H69" s="28" t="s">
        <v>61</v>
      </c>
      <c r="I69" s="28" t="s">
        <v>274</v>
      </c>
      <c r="J69" s="37">
        <v>13152</v>
      </c>
    </row>
    <row r="70" spans="1:10" s="29" customFormat="1" ht="36" customHeight="1">
      <c r="A70" s="28"/>
      <c r="B70" s="28">
        <v>61</v>
      </c>
      <c r="C70" s="28" t="s">
        <v>81</v>
      </c>
      <c r="D70" s="28" t="s">
        <v>82</v>
      </c>
      <c r="E70" s="28" t="s">
        <v>226</v>
      </c>
      <c r="F70" s="28" t="s">
        <v>60</v>
      </c>
      <c r="G70" s="28" t="str">
        <f t="shared" ref="G70:G71" si="15">IF(H70="جسيمة","عالي",IF(D70&lt;&gt;"اللوحات الداخلية",IF(OR(F70="مخالفات الرخصة ومزاولة النشاط",F70="النظافة العامة",F70="التشوه البصري"),"متوسط","منخفض"),"منخفض"))</f>
        <v>متوسط</v>
      </c>
      <c r="H70" s="28" t="s">
        <v>61</v>
      </c>
      <c r="I70" s="28" t="s">
        <v>256</v>
      </c>
      <c r="J70" s="36">
        <v>14248</v>
      </c>
    </row>
    <row r="71" spans="1:10" s="29" customFormat="1" ht="36" customHeight="1">
      <c r="A71" s="28"/>
      <c r="B71" s="28">
        <v>62</v>
      </c>
      <c r="C71" s="28" t="s">
        <v>81</v>
      </c>
      <c r="D71" s="28" t="s">
        <v>82</v>
      </c>
      <c r="E71" s="28" t="s">
        <v>225</v>
      </c>
      <c r="F71" s="28" t="s">
        <v>60</v>
      </c>
      <c r="G71" s="28" t="str">
        <f t="shared" si="15"/>
        <v>متوسط</v>
      </c>
      <c r="H71" s="28" t="s">
        <v>61</v>
      </c>
      <c r="I71" s="28" t="s">
        <v>256</v>
      </c>
      <c r="J71" s="36">
        <v>14248</v>
      </c>
    </row>
    <row r="72" spans="1:10" s="29" customFormat="1" ht="36" customHeight="1">
      <c r="A72" s="40"/>
      <c r="B72" s="28">
        <v>63</v>
      </c>
      <c r="C72" s="28" t="s">
        <v>81</v>
      </c>
      <c r="D72" s="28" t="s">
        <v>82</v>
      </c>
      <c r="E72" s="28" t="s">
        <v>227</v>
      </c>
      <c r="F72" s="28" t="s">
        <v>60</v>
      </c>
      <c r="G72" s="28" t="str">
        <f t="shared" ref="G72" si="16">IF(H72="جسيمة","عالي",IF(D72&lt;&gt;"اللوحات الداخلية",IF(OR(F72="مخالفات الرخصة ومزاولة النشاط",F72="النظافة العامة",F72="التشوه البصري"),"متوسط","منخفض"),"منخفض"))</f>
        <v>متوسط</v>
      </c>
      <c r="H72" s="28" t="s">
        <v>61</v>
      </c>
      <c r="I72" s="28" t="s">
        <v>275</v>
      </c>
      <c r="J72" s="37">
        <v>44564</v>
      </c>
    </row>
    <row r="73" spans="1:10" s="29" customFormat="1" ht="36" customHeight="1">
      <c r="A73" s="40"/>
      <c r="B73" s="28">
        <v>64</v>
      </c>
      <c r="C73" s="28" t="s">
        <v>81</v>
      </c>
      <c r="D73" s="28" t="s">
        <v>82</v>
      </c>
      <c r="E73" s="28" t="s">
        <v>228</v>
      </c>
      <c r="F73" s="28" t="s">
        <v>60</v>
      </c>
      <c r="G73" s="28" t="str">
        <f t="shared" ref="G73" si="17">IF(H73="جسيمة","عالي",IF(D73&lt;&gt;"اللوحات الداخلية",IF(OR(F73="مخالفات الرخصة ومزاولة النشاط",F73="النظافة العامة",F73="التشوه البصري"),"متوسط","منخفض"),"منخفض"))</f>
        <v>متوسط</v>
      </c>
      <c r="H73" s="28" t="s">
        <v>61</v>
      </c>
      <c r="I73" s="28" t="s">
        <v>256</v>
      </c>
      <c r="J73" s="36">
        <v>14248</v>
      </c>
    </row>
    <row r="74" spans="1:10" ht="36" customHeight="1">
      <c r="B74" s="8">
        <v>65</v>
      </c>
      <c r="C74" s="8" t="s">
        <v>81</v>
      </c>
      <c r="D74" s="8" t="s">
        <v>120</v>
      </c>
      <c r="E74" s="20" t="s">
        <v>121</v>
      </c>
      <c r="F74" s="20"/>
      <c r="G74" s="20"/>
      <c r="H74" s="20"/>
      <c r="I74" s="20"/>
      <c r="J74" s="20"/>
    </row>
    <row r="75" spans="1:10" s="1" customFormat="1" ht="36" customHeight="1">
      <c r="B75" s="8">
        <v>66</v>
      </c>
      <c r="C75" s="8" t="s">
        <v>81</v>
      </c>
      <c r="D75" s="8" t="s">
        <v>120</v>
      </c>
      <c r="E75" s="8" t="s">
        <v>278</v>
      </c>
      <c r="F75" s="30" t="s">
        <v>60</v>
      </c>
      <c r="G75" s="30" t="str">
        <f t="shared" ref="G75:G76" si="18">IF(H75="جسيمة","عالي",IF(D75&lt;&gt;"اللوحات الداخلية",IF(OR(F75="مخالفات الرخصة ومزاولة النشاط",F75="النظافة العامة",F75="التشوه البصري"),"متوسط","منخفض"),"منخفض"))</f>
        <v>متوسط</v>
      </c>
      <c r="H75" s="30" t="s">
        <v>61</v>
      </c>
      <c r="I75" s="30" t="s">
        <v>122</v>
      </c>
      <c r="J75" s="30" t="s">
        <v>123</v>
      </c>
    </row>
    <row r="76" spans="1:10" s="1" customFormat="1" ht="36" customHeight="1">
      <c r="B76" s="8">
        <v>67</v>
      </c>
      <c r="C76" s="8" t="s">
        <v>81</v>
      </c>
      <c r="D76" s="8" t="s">
        <v>120</v>
      </c>
      <c r="E76" s="8" t="s">
        <v>277</v>
      </c>
      <c r="F76" s="30" t="s">
        <v>60</v>
      </c>
      <c r="G76" s="30" t="str">
        <f t="shared" si="18"/>
        <v>متوسط</v>
      </c>
      <c r="H76" s="30" t="s">
        <v>61</v>
      </c>
      <c r="I76" s="30" t="s">
        <v>122</v>
      </c>
      <c r="J76" s="30" t="s">
        <v>123</v>
      </c>
    </row>
    <row r="77" spans="1:10" s="1" customFormat="1" ht="36" customHeight="1">
      <c r="B77" s="30">
        <v>68</v>
      </c>
      <c r="C77" s="30" t="s">
        <v>81</v>
      </c>
      <c r="D77" s="30" t="s">
        <v>124</v>
      </c>
      <c r="E77" s="30" t="s">
        <v>125</v>
      </c>
      <c r="F77" s="30" t="s">
        <v>126</v>
      </c>
      <c r="G77" s="30" t="str">
        <f t="shared" ref="G77:G92" si="19">IF(H77="جسيمة","عالي",IF(D77&lt;&gt;"اللوحات الداخلية",IF(OR(F77="مخالفات الرخصة ومزاولة النشاط",F77="النظافة العامة",F77="التشوه البصري"),"متوسط","منخفض"),"منخفض"))</f>
        <v>منخفض</v>
      </c>
      <c r="H77" s="30" t="s">
        <v>61</v>
      </c>
      <c r="I77" s="30" t="s">
        <v>276</v>
      </c>
      <c r="J77" s="30" t="s">
        <v>127</v>
      </c>
    </row>
    <row r="78" spans="1:10" s="1" customFormat="1" ht="36" customHeight="1">
      <c r="B78" s="30">
        <v>69</v>
      </c>
      <c r="C78" s="30" t="s">
        <v>81</v>
      </c>
      <c r="D78" s="50" t="s">
        <v>128</v>
      </c>
      <c r="E78" s="50" t="s">
        <v>306</v>
      </c>
      <c r="F78" s="50" t="s">
        <v>103</v>
      </c>
      <c r="G78" s="50" t="str">
        <f t="shared" si="19"/>
        <v>متوسط</v>
      </c>
      <c r="H78" s="50" t="s">
        <v>61</v>
      </c>
      <c r="I78" s="50" t="s">
        <v>129</v>
      </c>
      <c r="J78" s="30" t="s">
        <v>130</v>
      </c>
    </row>
    <row r="79" spans="1:10" s="1" customFormat="1" ht="36" customHeight="1">
      <c r="B79" s="30">
        <f t="shared" ref="B79:B91" si="20">ROW()-11</f>
        <v>68</v>
      </c>
      <c r="C79" s="30" t="s">
        <v>81</v>
      </c>
      <c r="D79" s="50" t="s">
        <v>128</v>
      </c>
      <c r="E79" s="50" t="s">
        <v>307</v>
      </c>
      <c r="F79" s="50" t="s">
        <v>103</v>
      </c>
      <c r="G79" s="50" t="str">
        <f t="shared" si="19"/>
        <v>متوسط</v>
      </c>
      <c r="H79" s="50" t="s">
        <v>61</v>
      </c>
      <c r="I79" s="50" t="s">
        <v>131</v>
      </c>
      <c r="J79" s="30" t="s">
        <v>132</v>
      </c>
    </row>
    <row r="80" spans="1:10" s="1" customFormat="1" ht="36" customHeight="1">
      <c r="B80" s="30">
        <f t="shared" si="20"/>
        <v>69</v>
      </c>
      <c r="C80" s="30" t="s">
        <v>81</v>
      </c>
      <c r="D80" s="50" t="s">
        <v>128</v>
      </c>
      <c r="E80" s="50" t="s">
        <v>308</v>
      </c>
      <c r="F80" s="50" t="s">
        <v>133</v>
      </c>
      <c r="G80" s="50" t="str">
        <f t="shared" si="19"/>
        <v>متوسط</v>
      </c>
      <c r="H80" s="50" t="s">
        <v>61</v>
      </c>
      <c r="I80" s="50" t="s">
        <v>134</v>
      </c>
      <c r="J80" s="30" t="s">
        <v>135</v>
      </c>
    </row>
    <row r="81" spans="2:10" s="1" customFormat="1" ht="36" customHeight="1">
      <c r="B81" s="30">
        <f t="shared" si="20"/>
        <v>70</v>
      </c>
      <c r="C81" s="30" t="s">
        <v>81</v>
      </c>
      <c r="D81" s="50" t="s">
        <v>128</v>
      </c>
      <c r="E81" s="50" t="s">
        <v>309</v>
      </c>
      <c r="F81" s="50" t="s">
        <v>133</v>
      </c>
      <c r="G81" s="50" t="str">
        <f t="shared" si="19"/>
        <v>متوسط</v>
      </c>
      <c r="H81" s="50" t="s">
        <v>61</v>
      </c>
      <c r="I81" s="50" t="s">
        <v>134</v>
      </c>
      <c r="J81" s="30" t="s">
        <v>135</v>
      </c>
    </row>
    <row r="82" spans="2:10" s="1" customFormat="1" ht="36" customHeight="1">
      <c r="B82" s="30">
        <f t="shared" si="20"/>
        <v>71</v>
      </c>
      <c r="C82" s="30" t="s">
        <v>81</v>
      </c>
      <c r="D82" s="50" t="s">
        <v>128</v>
      </c>
      <c r="E82" s="50" t="s">
        <v>310</v>
      </c>
      <c r="F82" s="50" t="s">
        <v>63</v>
      </c>
      <c r="G82" s="50" t="str">
        <f t="shared" si="19"/>
        <v>منخفض</v>
      </c>
      <c r="H82" s="50" t="s">
        <v>61</v>
      </c>
      <c r="I82" s="50" t="s">
        <v>136</v>
      </c>
      <c r="J82" s="30" t="s">
        <v>137</v>
      </c>
    </row>
    <row r="83" spans="2:10" s="1" customFormat="1" ht="36" customHeight="1">
      <c r="B83" s="30">
        <f t="shared" si="20"/>
        <v>72</v>
      </c>
      <c r="C83" s="30" t="s">
        <v>81</v>
      </c>
      <c r="D83" s="50" t="s">
        <v>128</v>
      </c>
      <c r="E83" s="50" t="s">
        <v>311</v>
      </c>
      <c r="F83" s="50" t="s">
        <v>63</v>
      </c>
      <c r="G83" s="50" t="str">
        <f t="shared" si="19"/>
        <v>منخفض</v>
      </c>
      <c r="H83" s="50" t="s">
        <v>61</v>
      </c>
      <c r="I83" s="50" t="s">
        <v>138</v>
      </c>
      <c r="J83" s="30" t="s">
        <v>139</v>
      </c>
    </row>
    <row r="84" spans="2:10" s="1" customFormat="1" ht="36" customHeight="1">
      <c r="B84" s="30">
        <f t="shared" si="20"/>
        <v>73</v>
      </c>
      <c r="C84" s="30" t="s">
        <v>81</v>
      </c>
      <c r="D84" s="50" t="s">
        <v>128</v>
      </c>
      <c r="E84" s="50" t="s">
        <v>312</v>
      </c>
      <c r="F84" s="50" t="s">
        <v>63</v>
      </c>
      <c r="G84" s="50" t="str">
        <f t="shared" si="19"/>
        <v>عالي</v>
      </c>
      <c r="H84" s="50" t="s">
        <v>66</v>
      </c>
      <c r="I84" s="50" t="s">
        <v>140</v>
      </c>
      <c r="J84" s="30" t="s">
        <v>141</v>
      </c>
    </row>
    <row r="85" spans="2:10" s="1" customFormat="1" ht="36" customHeight="1">
      <c r="B85" s="30">
        <f t="shared" si="20"/>
        <v>74</v>
      </c>
      <c r="C85" s="30" t="s">
        <v>81</v>
      </c>
      <c r="D85" s="30" t="s">
        <v>142</v>
      </c>
      <c r="E85" s="30" t="s">
        <v>143</v>
      </c>
      <c r="F85" s="30" t="s">
        <v>133</v>
      </c>
      <c r="G85" s="30" t="str">
        <f t="shared" si="19"/>
        <v>متوسط</v>
      </c>
      <c r="H85" s="30" t="s">
        <v>61</v>
      </c>
      <c r="I85" s="30" t="s">
        <v>144</v>
      </c>
      <c r="J85" s="30" t="s">
        <v>145</v>
      </c>
    </row>
    <row r="86" spans="2:10" s="1" customFormat="1" ht="36" customHeight="1">
      <c r="B86" s="30">
        <f>ROW()-11</f>
        <v>75</v>
      </c>
      <c r="C86" s="30" t="s">
        <v>81</v>
      </c>
      <c r="D86" s="30" t="s">
        <v>142</v>
      </c>
      <c r="E86" s="30" t="s">
        <v>146</v>
      </c>
      <c r="F86" s="30" t="s">
        <v>133</v>
      </c>
      <c r="G86" s="30" t="str">
        <f t="shared" si="19"/>
        <v>عالي</v>
      </c>
      <c r="H86" s="30" t="s">
        <v>66</v>
      </c>
      <c r="I86" s="30" t="s">
        <v>279</v>
      </c>
      <c r="J86" s="30" t="s">
        <v>147</v>
      </c>
    </row>
    <row r="87" spans="2:10" s="1" customFormat="1" ht="36" customHeight="1">
      <c r="B87" s="30">
        <f t="shared" si="20"/>
        <v>76</v>
      </c>
      <c r="C87" s="30" t="s">
        <v>81</v>
      </c>
      <c r="D87" s="30" t="s">
        <v>142</v>
      </c>
      <c r="E87" s="30" t="s">
        <v>148</v>
      </c>
      <c r="F87" s="30" t="s">
        <v>133</v>
      </c>
      <c r="G87" s="30" t="str">
        <f t="shared" si="19"/>
        <v>عالي</v>
      </c>
      <c r="H87" s="30" t="s">
        <v>66</v>
      </c>
      <c r="I87" s="30" t="s">
        <v>280</v>
      </c>
      <c r="J87" s="30" t="s">
        <v>149</v>
      </c>
    </row>
    <row r="88" spans="2:10" s="1" customFormat="1" ht="36" customHeight="1">
      <c r="B88" s="30">
        <f t="shared" si="20"/>
        <v>77</v>
      </c>
      <c r="C88" s="30" t="s">
        <v>81</v>
      </c>
      <c r="D88" s="30" t="s">
        <v>142</v>
      </c>
      <c r="E88" s="30" t="s">
        <v>281</v>
      </c>
      <c r="F88" s="30" t="s">
        <v>133</v>
      </c>
      <c r="G88" s="30" t="str">
        <f t="shared" si="19"/>
        <v>عالي</v>
      </c>
      <c r="H88" s="30" t="s">
        <v>66</v>
      </c>
      <c r="I88" s="30" t="s">
        <v>280</v>
      </c>
      <c r="J88" s="30" t="s">
        <v>149</v>
      </c>
    </row>
    <row r="89" spans="2:10" s="1" customFormat="1" ht="36" customHeight="1">
      <c r="B89" s="30">
        <f t="shared" si="20"/>
        <v>78</v>
      </c>
      <c r="C89" s="30" t="s">
        <v>81</v>
      </c>
      <c r="D89" s="30" t="s">
        <v>142</v>
      </c>
      <c r="E89" s="30" t="s">
        <v>150</v>
      </c>
      <c r="F89" s="30" t="s">
        <v>133</v>
      </c>
      <c r="G89" s="30" t="str">
        <f t="shared" si="19"/>
        <v>عالي</v>
      </c>
      <c r="H89" s="30" t="s">
        <v>66</v>
      </c>
      <c r="I89" s="30" t="s">
        <v>151</v>
      </c>
      <c r="J89" s="30" t="s">
        <v>152</v>
      </c>
    </row>
    <row r="90" spans="2:10" s="1" customFormat="1" ht="36" customHeight="1">
      <c r="B90" s="30">
        <f t="shared" si="20"/>
        <v>79</v>
      </c>
      <c r="C90" s="30" t="s">
        <v>81</v>
      </c>
      <c r="D90" s="30" t="s">
        <v>142</v>
      </c>
      <c r="E90" s="30" t="s">
        <v>153</v>
      </c>
      <c r="F90" s="30" t="s">
        <v>133</v>
      </c>
      <c r="G90" s="30" t="str">
        <f t="shared" si="19"/>
        <v>متوسط</v>
      </c>
      <c r="H90" s="30" t="s">
        <v>61</v>
      </c>
      <c r="I90" s="30" t="s">
        <v>154</v>
      </c>
      <c r="J90" s="30" t="s">
        <v>155</v>
      </c>
    </row>
    <row r="91" spans="2:10" s="1" customFormat="1" ht="36" customHeight="1">
      <c r="B91" s="30">
        <f t="shared" si="20"/>
        <v>80</v>
      </c>
      <c r="C91" s="30" t="s">
        <v>81</v>
      </c>
      <c r="D91" s="30" t="s">
        <v>142</v>
      </c>
      <c r="E91" s="30" t="s">
        <v>156</v>
      </c>
      <c r="F91" s="30" t="s">
        <v>133</v>
      </c>
      <c r="G91" s="30" t="str">
        <f t="shared" si="19"/>
        <v>عالي</v>
      </c>
      <c r="H91" s="30" t="s">
        <v>66</v>
      </c>
      <c r="I91" s="30" t="s">
        <v>157</v>
      </c>
      <c r="J91" s="30" t="s">
        <v>158</v>
      </c>
    </row>
    <row r="92" spans="2:10" s="29" customFormat="1" ht="36" customHeight="1">
      <c r="B92" s="28">
        <v>83</v>
      </c>
      <c r="C92" s="28" t="s">
        <v>81</v>
      </c>
      <c r="D92" s="28" t="s">
        <v>142</v>
      </c>
      <c r="E92" s="28" t="s">
        <v>232</v>
      </c>
      <c r="F92" s="33" t="s">
        <v>133</v>
      </c>
      <c r="G92" s="28" t="str">
        <f t="shared" si="19"/>
        <v>عالي</v>
      </c>
      <c r="H92" s="33" t="s">
        <v>66</v>
      </c>
      <c r="I92" s="28" t="s">
        <v>266</v>
      </c>
      <c r="J92" s="37">
        <v>44929</v>
      </c>
    </row>
    <row r="93" spans="2:10" s="29" customFormat="1" ht="36" customHeight="1">
      <c r="B93" s="28">
        <v>84</v>
      </c>
      <c r="C93" s="28" t="s">
        <v>81</v>
      </c>
      <c r="D93" s="28" t="s">
        <v>142</v>
      </c>
      <c r="E93" s="28" t="s">
        <v>229</v>
      </c>
      <c r="F93" s="28" t="s">
        <v>133</v>
      </c>
      <c r="G93" s="28" t="str">
        <f t="shared" ref="G93" si="21">IF(H93="جسيمة","عالي",IF(D93&lt;&gt;"اللوحات الداخلية",IF(OR(F93="مخالفات الرخصة ومزاولة النشاط",F93="النظافة العامة",F93="التشوه البصري"),"متوسط","منخفض"),"منخفض"))</f>
        <v>عالي</v>
      </c>
      <c r="H93" s="33" t="s">
        <v>66</v>
      </c>
      <c r="I93" s="28" t="s">
        <v>266</v>
      </c>
      <c r="J93" s="37">
        <v>44929</v>
      </c>
    </row>
    <row r="94" spans="2:10" s="1" customFormat="1" ht="36" customHeight="1">
      <c r="B94" s="8">
        <v>85</v>
      </c>
      <c r="C94" s="8" t="s">
        <v>81</v>
      </c>
      <c r="D94" s="8" t="s">
        <v>142</v>
      </c>
      <c r="E94" s="8" t="s">
        <v>160</v>
      </c>
      <c r="F94" s="8" t="s">
        <v>133</v>
      </c>
      <c r="G94" s="8" t="str">
        <f t="shared" ref="G94:G128" si="22">IF(H94="جسيمة","عالي",IF(D94&lt;&gt;"اللوحات الداخلية",IF(OR(F94="مخالفات الرخصة ومزاولة النشاط",F94="النظافة العامة",F94="التشوه البصري"),"متوسط","منخفض"),"منخفض"))</f>
        <v>عالي</v>
      </c>
      <c r="H94" s="8" t="s">
        <v>66</v>
      </c>
      <c r="I94" s="8" t="s">
        <v>159</v>
      </c>
      <c r="J94" s="38">
        <v>42010</v>
      </c>
    </row>
    <row r="95" spans="2:10" s="1" customFormat="1" ht="36" customHeight="1">
      <c r="B95" s="8">
        <v>86</v>
      </c>
      <c r="C95" s="8" t="s">
        <v>81</v>
      </c>
      <c r="D95" s="8" t="s">
        <v>142</v>
      </c>
      <c r="E95" s="8" t="s">
        <v>282</v>
      </c>
      <c r="F95" s="8" t="s">
        <v>133</v>
      </c>
      <c r="G95" s="8" t="str">
        <f t="shared" si="22"/>
        <v>عالي</v>
      </c>
      <c r="H95" s="8" t="s">
        <v>66</v>
      </c>
      <c r="I95" s="8" t="s">
        <v>159</v>
      </c>
      <c r="J95" s="38">
        <v>42010</v>
      </c>
    </row>
    <row r="96" spans="2:10" s="1" customFormat="1" ht="36" customHeight="1">
      <c r="B96" s="8">
        <v>87</v>
      </c>
      <c r="C96" s="8" t="s">
        <v>81</v>
      </c>
      <c r="D96" s="8" t="s">
        <v>142</v>
      </c>
      <c r="E96" s="8" t="s">
        <v>161</v>
      </c>
      <c r="F96" s="8" t="s">
        <v>133</v>
      </c>
      <c r="G96" s="8" t="str">
        <f t="shared" si="22"/>
        <v>عالي</v>
      </c>
      <c r="H96" s="8" t="s">
        <v>66</v>
      </c>
      <c r="I96" s="8" t="s">
        <v>159</v>
      </c>
      <c r="J96" s="38">
        <v>42010</v>
      </c>
    </row>
    <row r="97" spans="1:12" s="1" customFormat="1" ht="36" customHeight="1">
      <c r="B97" s="8">
        <v>88</v>
      </c>
      <c r="C97" s="8" t="s">
        <v>81</v>
      </c>
      <c r="D97" s="8" t="s">
        <v>142</v>
      </c>
      <c r="E97" s="8" t="s">
        <v>283</v>
      </c>
      <c r="F97" s="8" t="s">
        <v>133</v>
      </c>
      <c r="G97" s="8" t="str">
        <f t="shared" si="22"/>
        <v>عالي</v>
      </c>
      <c r="H97" s="8" t="s">
        <v>66</v>
      </c>
      <c r="I97" s="8" t="s">
        <v>159</v>
      </c>
      <c r="J97" s="38">
        <v>42010</v>
      </c>
    </row>
    <row r="98" spans="1:12" s="1" customFormat="1" ht="36" customHeight="1">
      <c r="B98" s="8">
        <v>89</v>
      </c>
      <c r="C98" s="8" t="s">
        <v>81</v>
      </c>
      <c r="D98" s="8" t="s">
        <v>142</v>
      </c>
      <c r="E98" s="8" t="s">
        <v>284</v>
      </c>
      <c r="F98" s="8" t="s">
        <v>133</v>
      </c>
      <c r="G98" s="8" t="str">
        <f t="shared" si="22"/>
        <v>عالي</v>
      </c>
      <c r="H98" s="8" t="s">
        <v>66</v>
      </c>
      <c r="I98" s="8" t="s">
        <v>285</v>
      </c>
      <c r="J98" s="38">
        <v>45660</v>
      </c>
    </row>
    <row r="99" spans="1:12" s="1" customFormat="1" ht="36" customHeight="1">
      <c r="B99" s="8">
        <v>90</v>
      </c>
      <c r="C99" s="8" t="s">
        <v>81</v>
      </c>
      <c r="D99" s="8" t="s">
        <v>142</v>
      </c>
      <c r="E99" s="8" t="s">
        <v>162</v>
      </c>
      <c r="F99" s="8" t="s">
        <v>133</v>
      </c>
      <c r="G99" s="8" t="str">
        <f t="shared" si="22"/>
        <v>عالي</v>
      </c>
      <c r="H99" s="8" t="s">
        <v>66</v>
      </c>
      <c r="I99" s="8" t="s">
        <v>159</v>
      </c>
      <c r="J99" s="38">
        <v>42010</v>
      </c>
    </row>
    <row r="100" spans="1:12" s="1" customFormat="1" ht="36" customHeight="1">
      <c r="B100" s="8">
        <v>91</v>
      </c>
      <c r="C100" s="8" t="s">
        <v>81</v>
      </c>
      <c r="D100" s="8" t="s">
        <v>142</v>
      </c>
      <c r="E100" s="8" t="s">
        <v>163</v>
      </c>
      <c r="F100" s="8" t="s">
        <v>133</v>
      </c>
      <c r="G100" s="8" t="str">
        <f t="shared" si="22"/>
        <v>عالي</v>
      </c>
      <c r="H100" s="8" t="s">
        <v>66</v>
      </c>
      <c r="I100" s="8" t="s">
        <v>159</v>
      </c>
      <c r="J100" s="38">
        <v>42010</v>
      </c>
    </row>
    <row r="101" spans="1:12" ht="36" customHeight="1">
      <c r="A101" s="14"/>
      <c r="B101" s="8">
        <v>92</v>
      </c>
      <c r="C101" s="8" t="s">
        <v>81</v>
      </c>
      <c r="D101" s="8" t="s">
        <v>164</v>
      </c>
      <c r="E101" s="8" t="s">
        <v>165</v>
      </c>
      <c r="F101" s="8" t="s">
        <v>60</v>
      </c>
      <c r="G101" s="8" t="str">
        <f t="shared" si="22"/>
        <v>متوسط</v>
      </c>
      <c r="H101" s="8" t="s">
        <v>61</v>
      </c>
      <c r="I101" s="8" t="s">
        <v>79</v>
      </c>
      <c r="J101" s="8" t="s">
        <v>80</v>
      </c>
      <c r="K101" s="14"/>
      <c r="L101" s="14"/>
    </row>
    <row r="102" spans="1:12" ht="36" customHeight="1">
      <c r="A102" s="14"/>
      <c r="B102" s="8">
        <v>93</v>
      </c>
      <c r="C102" s="8" t="s">
        <v>81</v>
      </c>
      <c r="D102" s="8" t="s">
        <v>164</v>
      </c>
      <c r="E102" s="8" t="s">
        <v>230</v>
      </c>
      <c r="F102" s="8" t="s">
        <v>60</v>
      </c>
      <c r="G102" s="8" t="str">
        <f t="shared" si="22"/>
        <v>متوسط</v>
      </c>
      <c r="H102" s="8" t="s">
        <v>61</v>
      </c>
      <c r="I102" s="8" t="s">
        <v>79</v>
      </c>
      <c r="J102" s="8" t="s">
        <v>80</v>
      </c>
      <c r="K102" s="14"/>
      <c r="L102" s="14"/>
    </row>
    <row r="103" spans="1:12" ht="36" customHeight="1">
      <c r="A103" s="14"/>
      <c r="B103" s="8">
        <v>94</v>
      </c>
      <c r="C103" s="8" t="s">
        <v>81</v>
      </c>
      <c r="D103" s="8" t="s">
        <v>164</v>
      </c>
      <c r="E103" s="8" t="s">
        <v>166</v>
      </c>
      <c r="F103" s="8" t="s">
        <v>60</v>
      </c>
      <c r="G103" s="8" t="str">
        <f t="shared" si="22"/>
        <v>متوسط</v>
      </c>
      <c r="H103" s="8" t="s">
        <v>61</v>
      </c>
      <c r="I103" s="8" t="s">
        <v>79</v>
      </c>
      <c r="J103" s="8" t="s">
        <v>80</v>
      </c>
      <c r="K103" s="14"/>
      <c r="L103" s="14"/>
    </row>
    <row r="104" spans="1:12" ht="36" customHeight="1">
      <c r="A104" s="14"/>
      <c r="B104" s="8">
        <v>95</v>
      </c>
      <c r="C104" s="8" t="s">
        <v>81</v>
      </c>
      <c r="D104" s="8" t="s">
        <v>164</v>
      </c>
      <c r="E104" s="8" t="s">
        <v>167</v>
      </c>
      <c r="F104" s="8" t="s">
        <v>60</v>
      </c>
      <c r="G104" s="8" t="str">
        <f t="shared" si="22"/>
        <v>متوسط</v>
      </c>
      <c r="H104" s="8" t="s">
        <v>61</v>
      </c>
      <c r="I104" s="8" t="s">
        <v>79</v>
      </c>
      <c r="J104" s="8" t="s">
        <v>80</v>
      </c>
      <c r="K104" s="14"/>
      <c r="L104" s="14"/>
    </row>
    <row r="105" spans="1:12" ht="36" customHeight="1">
      <c r="A105" s="14"/>
      <c r="B105" s="8">
        <v>96</v>
      </c>
      <c r="C105" s="8" t="s">
        <v>81</v>
      </c>
      <c r="D105" s="8" t="s">
        <v>164</v>
      </c>
      <c r="E105" s="8" t="s">
        <v>168</v>
      </c>
      <c r="F105" s="8" t="s">
        <v>60</v>
      </c>
      <c r="G105" s="8" t="str">
        <f t="shared" si="22"/>
        <v>متوسط</v>
      </c>
      <c r="H105" s="8" t="s">
        <v>61</v>
      </c>
      <c r="I105" s="8" t="s">
        <v>79</v>
      </c>
      <c r="J105" s="8" t="s">
        <v>80</v>
      </c>
      <c r="K105" s="14"/>
      <c r="L105" s="14"/>
    </row>
    <row r="106" spans="1:12" ht="36" customHeight="1">
      <c r="A106" s="14"/>
      <c r="B106" s="8">
        <v>97</v>
      </c>
      <c r="C106" s="8" t="s">
        <v>81</v>
      </c>
      <c r="D106" s="8" t="s">
        <v>164</v>
      </c>
      <c r="E106" s="8" t="s">
        <v>231</v>
      </c>
      <c r="F106" s="8" t="s">
        <v>60</v>
      </c>
      <c r="G106" s="8" t="str">
        <f t="shared" si="22"/>
        <v>متوسط</v>
      </c>
      <c r="H106" s="8" t="s">
        <v>61</v>
      </c>
      <c r="I106" s="8" t="s">
        <v>79</v>
      </c>
      <c r="J106" s="8" t="s">
        <v>80</v>
      </c>
      <c r="K106" s="14"/>
      <c r="L106" s="14"/>
    </row>
    <row r="107" spans="1:12" ht="36" customHeight="1">
      <c r="B107" s="8">
        <v>98</v>
      </c>
      <c r="C107" s="8" t="s">
        <v>81</v>
      </c>
      <c r="D107" s="8" t="s">
        <v>164</v>
      </c>
      <c r="E107" s="8" t="s">
        <v>169</v>
      </c>
      <c r="F107" s="8" t="s">
        <v>60</v>
      </c>
      <c r="G107" s="8" t="str">
        <f t="shared" si="22"/>
        <v>متوسط</v>
      </c>
      <c r="H107" s="8" t="s">
        <v>61</v>
      </c>
      <c r="I107" s="8" t="s">
        <v>79</v>
      </c>
      <c r="J107" s="8" t="s">
        <v>80</v>
      </c>
    </row>
    <row r="108" spans="1:12" ht="36" customHeight="1">
      <c r="B108" s="8">
        <v>99</v>
      </c>
      <c r="C108" s="8" t="s">
        <v>81</v>
      </c>
      <c r="D108" s="8" t="s">
        <v>164</v>
      </c>
      <c r="E108" s="8" t="s">
        <v>170</v>
      </c>
      <c r="F108" s="8" t="s">
        <v>60</v>
      </c>
      <c r="G108" s="8" t="str">
        <f t="shared" si="22"/>
        <v>متوسط</v>
      </c>
      <c r="H108" s="8" t="s">
        <v>61</v>
      </c>
      <c r="I108" s="8" t="s">
        <v>79</v>
      </c>
      <c r="J108" s="8" t="s">
        <v>80</v>
      </c>
    </row>
    <row r="109" spans="1:12" s="1" customFormat="1" ht="36" customHeight="1">
      <c r="B109" s="30">
        <f t="shared" ref="B109:B116" si="23">ROW()-11</f>
        <v>98</v>
      </c>
      <c r="C109" s="50" t="s">
        <v>81</v>
      </c>
      <c r="D109" s="50" t="s">
        <v>171</v>
      </c>
      <c r="E109" s="50" t="s">
        <v>337</v>
      </c>
      <c r="F109" s="50" t="s">
        <v>133</v>
      </c>
      <c r="G109" s="50" t="str">
        <f t="shared" si="22"/>
        <v>متوسط</v>
      </c>
      <c r="H109" s="50" t="s">
        <v>61</v>
      </c>
      <c r="I109" s="50" t="s">
        <v>338</v>
      </c>
      <c r="J109" s="51" t="s">
        <v>172</v>
      </c>
    </row>
    <row r="110" spans="1:12" s="1" customFormat="1" ht="36" customHeight="1">
      <c r="B110" s="30">
        <f t="shared" si="23"/>
        <v>99</v>
      </c>
      <c r="C110" s="50" t="s">
        <v>81</v>
      </c>
      <c r="D110" s="50" t="s">
        <v>171</v>
      </c>
      <c r="E110" s="50" t="s">
        <v>339</v>
      </c>
      <c r="F110" s="50" t="s">
        <v>133</v>
      </c>
      <c r="G110" s="50" t="s">
        <v>319</v>
      </c>
      <c r="H110" s="50" t="s">
        <v>66</v>
      </c>
      <c r="I110" s="50" t="s">
        <v>340</v>
      </c>
      <c r="J110" s="51" t="s">
        <v>173</v>
      </c>
    </row>
    <row r="111" spans="1:12" s="1" customFormat="1" ht="36" customHeight="1">
      <c r="B111" s="30">
        <f t="shared" si="23"/>
        <v>100</v>
      </c>
      <c r="C111" s="50" t="s">
        <v>81</v>
      </c>
      <c r="D111" s="50" t="s">
        <v>171</v>
      </c>
      <c r="E111" s="50" t="s">
        <v>341</v>
      </c>
      <c r="F111" s="50" t="s">
        <v>133</v>
      </c>
      <c r="G111" s="50" t="s">
        <v>257</v>
      </c>
      <c r="H111" s="50" t="s">
        <v>61</v>
      </c>
      <c r="I111" s="50" t="s">
        <v>174</v>
      </c>
      <c r="J111" s="51" t="s">
        <v>175</v>
      </c>
    </row>
    <row r="112" spans="1:12" s="1" customFormat="1" ht="36" customHeight="1">
      <c r="B112" s="30">
        <f t="shared" si="23"/>
        <v>101</v>
      </c>
      <c r="C112" s="50" t="s">
        <v>81</v>
      </c>
      <c r="D112" s="50" t="s">
        <v>171</v>
      </c>
      <c r="E112" s="50" t="s">
        <v>342</v>
      </c>
      <c r="F112" s="50" t="s">
        <v>133</v>
      </c>
      <c r="G112" s="50" t="s">
        <v>257</v>
      </c>
      <c r="H112" s="50" t="s">
        <v>61</v>
      </c>
      <c r="I112" s="50" t="s">
        <v>176</v>
      </c>
      <c r="J112" s="51" t="s">
        <v>177</v>
      </c>
    </row>
    <row r="113" spans="2:10" s="1" customFormat="1" ht="36" customHeight="1">
      <c r="B113" s="30">
        <f t="shared" si="23"/>
        <v>102</v>
      </c>
      <c r="C113" s="50" t="s">
        <v>81</v>
      </c>
      <c r="D113" s="50" t="s">
        <v>171</v>
      </c>
      <c r="E113" s="50" t="s">
        <v>343</v>
      </c>
      <c r="F113" s="50" t="s">
        <v>133</v>
      </c>
      <c r="G113" s="50" t="s">
        <v>257</v>
      </c>
      <c r="H113" s="50" t="s">
        <v>61</v>
      </c>
      <c r="I113" s="50" t="s">
        <v>286</v>
      </c>
      <c r="J113" s="61" t="s">
        <v>344</v>
      </c>
    </row>
    <row r="114" spans="2:10" s="1" customFormat="1" ht="36" customHeight="1">
      <c r="B114" s="30">
        <f t="shared" si="23"/>
        <v>103</v>
      </c>
      <c r="C114" s="50" t="s">
        <v>81</v>
      </c>
      <c r="D114" s="50" t="s">
        <v>178</v>
      </c>
      <c r="E114" s="50" t="s">
        <v>179</v>
      </c>
      <c r="F114" s="50" t="s">
        <v>60</v>
      </c>
      <c r="G114" s="50" t="str">
        <f t="shared" si="22"/>
        <v>متوسط</v>
      </c>
      <c r="H114" s="50" t="s">
        <v>61</v>
      </c>
      <c r="I114" s="50" t="s">
        <v>180</v>
      </c>
      <c r="J114" s="30" t="s">
        <v>181</v>
      </c>
    </row>
    <row r="115" spans="2:10" s="1" customFormat="1" ht="36" customHeight="1">
      <c r="B115" s="30">
        <f t="shared" si="23"/>
        <v>104</v>
      </c>
      <c r="C115" s="50" t="s">
        <v>81</v>
      </c>
      <c r="D115" s="50" t="s">
        <v>178</v>
      </c>
      <c r="E115" s="50" t="s">
        <v>335</v>
      </c>
      <c r="F115" s="50" t="s">
        <v>60</v>
      </c>
      <c r="G115" s="50" t="str">
        <f t="shared" si="22"/>
        <v>متوسط</v>
      </c>
      <c r="H115" s="50" t="s">
        <v>61</v>
      </c>
      <c r="I115" s="50" t="s">
        <v>182</v>
      </c>
      <c r="J115" s="30" t="s">
        <v>183</v>
      </c>
    </row>
    <row r="116" spans="2:10" s="1" customFormat="1" ht="36" customHeight="1">
      <c r="B116" s="30">
        <f t="shared" si="23"/>
        <v>105</v>
      </c>
      <c r="C116" s="50" t="s">
        <v>81</v>
      </c>
      <c r="D116" s="50" t="s">
        <v>178</v>
      </c>
      <c r="E116" s="50" t="s">
        <v>336</v>
      </c>
      <c r="F116" s="50" t="s">
        <v>60</v>
      </c>
      <c r="G116" s="50" t="str">
        <f t="shared" si="22"/>
        <v>متوسط</v>
      </c>
      <c r="H116" s="50" t="s">
        <v>61</v>
      </c>
      <c r="I116" s="50" t="s">
        <v>184</v>
      </c>
      <c r="J116" s="30" t="s">
        <v>185</v>
      </c>
    </row>
    <row r="117" spans="2:10" s="1" customFormat="1" ht="36" customHeight="1">
      <c r="B117" s="8">
        <v>109</v>
      </c>
      <c r="C117" s="54" t="s">
        <v>81</v>
      </c>
      <c r="D117" s="54" t="s">
        <v>186</v>
      </c>
      <c r="E117" s="54" t="s">
        <v>313</v>
      </c>
      <c r="F117" s="54" t="s">
        <v>187</v>
      </c>
      <c r="G117" s="54" t="str">
        <f t="shared" si="22"/>
        <v>منخفض</v>
      </c>
      <c r="H117" s="54" t="s">
        <v>61</v>
      </c>
      <c r="I117" s="54" t="s">
        <v>288</v>
      </c>
      <c r="J117" s="58" t="s">
        <v>188</v>
      </c>
    </row>
    <row r="118" spans="2:10" s="1" customFormat="1" ht="36" customHeight="1">
      <c r="B118" s="8">
        <v>110</v>
      </c>
      <c r="C118" s="54" t="s">
        <v>81</v>
      </c>
      <c r="D118" s="54" t="s">
        <v>186</v>
      </c>
      <c r="E118" s="55" t="s">
        <v>314</v>
      </c>
      <c r="F118" s="54" t="s">
        <v>187</v>
      </c>
      <c r="G118" s="54" t="str">
        <f t="shared" si="22"/>
        <v>عالي</v>
      </c>
      <c r="H118" s="54" t="s">
        <v>66</v>
      </c>
      <c r="I118" s="56" t="s">
        <v>315</v>
      </c>
      <c r="J118" s="59" t="s">
        <v>330</v>
      </c>
    </row>
    <row r="119" spans="2:10" s="1" customFormat="1" ht="36" customHeight="1">
      <c r="B119" s="8">
        <v>111</v>
      </c>
      <c r="C119" s="54" t="s">
        <v>81</v>
      </c>
      <c r="D119" s="54" t="s">
        <v>186</v>
      </c>
      <c r="E119" s="55" t="s">
        <v>191</v>
      </c>
      <c r="F119" s="54" t="s">
        <v>187</v>
      </c>
      <c r="G119" s="54" t="str">
        <f t="shared" si="22"/>
        <v>عالي</v>
      </c>
      <c r="H119" s="54" t="s">
        <v>66</v>
      </c>
      <c r="I119" s="56" t="s">
        <v>316</v>
      </c>
      <c r="J119" s="59" t="s">
        <v>331</v>
      </c>
    </row>
    <row r="120" spans="2:10" s="1" customFormat="1" ht="36" customHeight="1">
      <c r="B120" s="8">
        <v>112</v>
      </c>
      <c r="C120" s="54" t="s">
        <v>81</v>
      </c>
      <c r="D120" s="54" t="s">
        <v>186</v>
      </c>
      <c r="E120" s="55" t="s">
        <v>287</v>
      </c>
      <c r="F120" s="54" t="s">
        <v>187</v>
      </c>
      <c r="G120" s="54" t="str">
        <f t="shared" si="22"/>
        <v>منخفض</v>
      </c>
      <c r="H120" s="54" t="s">
        <v>61</v>
      </c>
      <c r="I120" s="54" t="s">
        <v>189</v>
      </c>
      <c r="J120" s="58" t="s">
        <v>190</v>
      </c>
    </row>
    <row r="121" spans="2:10" s="1" customFormat="1" ht="36" customHeight="1">
      <c r="B121" s="8">
        <v>113</v>
      </c>
      <c r="C121" s="54" t="s">
        <v>81</v>
      </c>
      <c r="D121" s="54" t="s">
        <v>186</v>
      </c>
      <c r="E121" s="55" t="s">
        <v>317</v>
      </c>
      <c r="F121" s="54" t="s">
        <v>187</v>
      </c>
      <c r="G121" s="54" t="str">
        <f t="shared" si="22"/>
        <v>عالي</v>
      </c>
      <c r="H121" s="54" t="s">
        <v>66</v>
      </c>
      <c r="I121" s="54" t="s">
        <v>192</v>
      </c>
      <c r="J121" s="58" t="s">
        <v>193</v>
      </c>
    </row>
    <row r="122" spans="2:10" s="29" customFormat="1" ht="36" customHeight="1">
      <c r="B122" s="28">
        <v>114</v>
      </c>
      <c r="C122" s="54" t="s">
        <v>81</v>
      </c>
      <c r="D122" s="54" t="s">
        <v>186</v>
      </c>
      <c r="E122" s="54" t="s">
        <v>318</v>
      </c>
      <c r="F122" s="54" t="s">
        <v>187</v>
      </c>
      <c r="G122" s="54" t="s">
        <v>319</v>
      </c>
      <c r="H122" s="54" t="s">
        <v>66</v>
      </c>
      <c r="I122" s="54" t="s">
        <v>320</v>
      </c>
      <c r="J122" s="58" t="s">
        <v>332</v>
      </c>
    </row>
    <row r="123" spans="2:10" s="1" customFormat="1" ht="36" customHeight="1">
      <c r="B123" s="8">
        <v>115</v>
      </c>
      <c r="C123" s="54" t="s">
        <v>81</v>
      </c>
      <c r="D123" s="54" t="s">
        <v>186</v>
      </c>
      <c r="E123" s="54" t="s">
        <v>321</v>
      </c>
      <c r="F123" s="54" t="s">
        <v>187</v>
      </c>
      <c r="G123" s="54" t="str">
        <f t="shared" si="22"/>
        <v>منخفض</v>
      </c>
      <c r="H123" s="54" t="s">
        <v>61</v>
      </c>
      <c r="I123" s="54" t="s">
        <v>189</v>
      </c>
      <c r="J123" s="58" t="s">
        <v>190</v>
      </c>
    </row>
    <row r="124" spans="2:10" s="1" customFormat="1" ht="36" customHeight="1">
      <c r="B124" s="8">
        <v>116</v>
      </c>
      <c r="C124" s="54" t="s">
        <v>81</v>
      </c>
      <c r="D124" s="54" t="s">
        <v>186</v>
      </c>
      <c r="E124" s="54" t="s">
        <v>322</v>
      </c>
      <c r="F124" s="54" t="s">
        <v>187</v>
      </c>
      <c r="G124" s="54" t="str">
        <f t="shared" si="22"/>
        <v>منخفض</v>
      </c>
      <c r="H124" s="54" t="s">
        <v>61</v>
      </c>
      <c r="I124" s="56" t="s">
        <v>288</v>
      </c>
      <c r="J124" s="59" t="s">
        <v>188</v>
      </c>
    </row>
    <row r="125" spans="2:10" s="1" customFormat="1" ht="36" customHeight="1">
      <c r="B125" s="8">
        <v>117</v>
      </c>
      <c r="C125" s="54" t="s">
        <v>81</v>
      </c>
      <c r="D125" s="54" t="s">
        <v>186</v>
      </c>
      <c r="E125" s="54" t="s">
        <v>323</v>
      </c>
      <c r="F125" s="54" t="s">
        <v>187</v>
      </c>
      <c r="G125" s="54" t="str">
        <f t="shared" si="22"/>
        <v>منخفض</v>
      </c>
      <c r="H125" s="54" t="s">
        <v>61</v>
      </c>
      <c r="I125" s="56" t="s">
        <v>324</v>
      </c>
      <c r="J125" s="59" t="s">
        <v>333</v>
      </c>
    </row>
    <row r="126" spans="2:10" s="1" customFormat="1" ht="36" customHeight="1">
      <c r="B126" s="8">
        <v>118</v>
      </c>
      <c r="C126" s="54" t="s">
        <v>81</v>
      </c>
      <c r="D126" s="54" t="s">
        <v>186</v>
      </c>
      <c r="E126" s="54" t="s">
        <v>325</v>
      </c>
      <c r="F126" s="54" t="s">
        <v>187</v>
      </c>
      <c r="G126" s="54" t="str">
        <f t="shared" si="22"/>
        <v>منخفض</v>
      </c>
      <c r="H126" s="54" t="s">
        <v>61</v>
      </c>
      <c r="I126" s="54" t="s">
        <v>326</v>
      </c>
      <c r="J126" s="58" t="s">
        <v>190</v>
      </c>
    </row>
    <row r="127" spans="2:10" s="1" customFormat="1" ht="36" customHeight="1">
      <c r="B127" s="8">
        <v>119</v>
      </c>
      <c r="C127" s="50" t="s">
        <v>81</v>
      </c>
      <c r="D127" s="54" t="s">
        <v>186</v>
      </c>
      <c r="E127" s="57" t="s">
        <v>327</v>
      </c>
      <c r="F127" s="54" t="s">
        <v>187</v>
      </c>
      <c r="G127" s="50" t="str">
        <f t="shared" si="22"/>
        <v>عالي</v>
      </c>
      <c r="H127" s="50" t="s">
        <v>66</v>
      </c>
      <c r="I127" s="54" t="s">
        <v>326</v>
      </c>
      <c r="J127" s="60" t="s">
        <v>190</v>
      </c>
    </row>
    <row r="128" spans="2:10" s="1" customFormat="1" ht="36" customHeight="1">
      <c r="B128" s="8">
        <v>120</v>
      </c>
      <c r="C128" s="50" t="s">
        <v>81</v>
      </c>
      <c r="D128" s="54" t="s">
        <v>186</v>
      </c>
      <c r="E128" s="57" t="s">
        <v>328</v>
      </c>
      <c r="F128" s="54" t="s">
        <v>187</v>
      </c>
      <c r="G128" s="50" t="str">
        <f t="shared" si="22"/>
        <v>عالي</v>
      </c>
      <c r="H128" s="50" t="s">
        <v>66</v>
      </c>
      <c r="I128" s="50" t="s">
        <v>329</v>
      </c>
      <c r="J128" s="51" t="s">
        <v>334</v>
      </c>
    </row>
    <row r="129" spans="2:10" s="1" customFormat="1" ht="36" customHeight="1">
      <c r="B129" s="16"/>
      <c r="C129" s="17"/>
      <c r="D129" s="17"/>
      <c r="E129" s="8"/>
      <c r="F129" s="17"/>
      <c r="G129" s="17"/>
      <c r="H129" s="17"/>
      <c r="I129" s="17"/>
      <c r="J129" s="18"/>
    </row>
    <row r="130" spans="2:10" s="1" customFormat="1" ht="36" customHeight="1">
      <c r="B130" s="16"/>
      <c r="C130" s="17"/>
      <c r="D130" s="17"/>
      <c r="E130" s="8"/>
      <c r="F130" s="17"/>
      <c r="G130" s="17"/>
      <c r="H130" s="17"/>
      <c r="I130" s="17"/>
      <c r="J130" s="18"/>
    </row>
    <row r="131" spans="2:10" s="1" customFormat="1" ht="36" customHeight="1">
      <c r="B131" s="16"/>
      <c r="C131" s="17"/>
      <c r="D131" s="17"/>
      <c r="E131" s="8"/>
      <c r="F131" s="17"/>
      <c r="G131" s="17"/>
      <c r="H131" s="17"/>
      <c r="I131" s="17"/>
      <c r="J131" s="18"/>
    </row>
    <row r="132" spans="2:10" s="1" customFormat="1">
      <c r="B132" s="2"/>
      <c r="C132" s="2"/>
      <c r="D132" s="2"/>
      <c r="E132" s="3"/>
      <c r="F132" s="3"/>
      <c r="G132" s="3"/>
      <c r="H132" s="3"/>
      <c r="I132" s="3"/>
      <c r="J132" s="2"/>
    </row>
    <row r="133" spans="2:10" ht="26.4" customHeight="1"/>
    <row r="134" spans="2:10" ht="26.4" customHeight="1"/>
    <row r="135" spans="2:10" ht="26.4" customHeight="1"/>
    <row r="136" spans="2:10" s="1" customFormat="1" ht="26.4" customHeight="1">
      <c r="B136" s="2"/>
      <c r="C136" s="2"/>
      <c r="D136" s="2"/>
      <c r="E136" s="3"/>
      <c r="F136" s="3"/>
      <c r="G136" s="3"/>
      <c r="H136" s="3"/>
      <c r="I136" s="3"/>
      <c r="J136" s="2"/>
    </row>
    <row r="137" spans="2:10" s="1" customFormat="1" ht="26.4" customHeight="1">
      <c r="B137" s="2"/>
      <c r="C137" s="2"/>
      <c r="D137" s="2"/>
      <c r="E137" s="3"/>
      <c r="F137" s="3"/>
      <c r="G137" s="3"/>
      <c r="H137" s="3"/>
      <c r="I137" s="3"/>
      <c r="J137" s="2"/>
    </row>
    <row r="138" spans="2:10" s="1" customFormat="1" ht="26.4" customHeight="1">
      <c r="B138" s="2"/>
      <c r="C138" s="2"/>
      <c r="D138" s="2"/>
      <c r="E138" s="3"/>
      <c r="F138" s="3"/>
      <c r="G138" s="3"/>
      <c r="H138" s="3"/>
      <c r="I138" s="3"/>
      <c r="J138" s="2"/>
    </row>
    <row r="139" spans="2:10" s="1" customFormat="1" ht="26.4" customHeight="1">
      <c r="B139" s="2"/>
      <c r="C139" s="2"/>
      <c r="D139" s="2"/>
      <c r="E139" s="3"/>
      <c r="F139" s="3"/>
      <c r="G139" s="3"/>
      <c r="H139" s="3"/>
      <c r="I139" s="3"/>
      <c r="J139" s="2"/>
    </row>
    <row r="140" spans="2:10" s="1" customFormat="1" ht="26.4" customHeight="1">
      <c r="B140" s="2"/>
      <c r="C140" s="2"/>
      <c r="D140" s="2"/>
      <c r="E140" s="3"/>
      <c r="F140" s="3"/>
      <c r="G140" s="3"/>
      <c r="H140" s="3"/>
      <c r="I140" s="3"/>
      <c r="J140" s="2"/>
    </row>
    <row r="141" spans="2:10" s="1" customFormat="1" ht="26.4" customHeight="1">
      <c r="B141" s="2"/>
      <c r="C141" s="2"/>
      <c r="D141" s="2"/>
      <c r="E141" s="3"/>
      <c r="F141" s="3"/>
      <c r="G141" s="3"/>
      <c r="H141" s="3"/>
      <c r="I141" s="3"/>
      <c r="J141" s="2"/>
    </row>
    <row r="142" spans="2:10" s="1" customFormat="1" ht="26.4" customHeight="1">
      <c r="B142" s="2"/>
      <c r="C142" s="2"/>
      <c r="D142" s="2"/>
      <c r="E142" s="3"/>
      <c r="F142" s="3"/>
      <c r="G142" s="3"/>
      <c r="H142" s="3"/>
      <c r="I142" s="3"/>
      <c r="J142" s="2"/>
    </row>
    <row r="143" spans="2:10" s="1" customFormat="1" ht="26.4" customHeight="1">
      <c r="B143" s="2"/>
      <c r="C143" s="2"/>
      <c r="D143" s="2"/>
      <c r="E143" s="3"/>
      <c r="F143" s="3"/>
      <c r="G143" s="3"/>
      <c r="H143" s="3"/>
      <c r="I143" s="3"/>
      <c r="J143" s="2"/>
    </row>
    <row r="144" spans="2:10" s="1" customFormat="1" ht="26.4" customHeight="1">
      <c r="B144" s="2"/>
      <c r="C144" s="2"/>
      <c r="D144" s="2"/>
      <c r="E144" s="3"/>
      <c r="F144" s="3"/>
      <c r="G144" s="3"/>
      <c r="H144" s="3"/>
      <c r="I144" s="3"/>
      <c r="J144" s="2"/>
    </row>
    <row r="145" spans="2:10" ht="26.4" customHeight="1"/>
    <row r="146" spans="2:10" ht="26.4" customHeight="1"/>
    <row r="147" spans="2:10" ht="26.4" customHeight="1"/>
    <row r="148" spans="2:10" ht="26.4" customHeight="1"/>
    <row r="149" spans="2:10" ht="26.4" customHeight="1"/>
    <row r="150" spans="2:10" ht="26.4" customHeight="1"/>
    <row r="151" spans="2:10" ht="26.4" customHeight="1"/>
    <row r="152" spans="2:10" ht="26.4" customHeight="1"/>
    <row r="153" spans="2:10" ht="26.4" customHeight="1"/>
    <row r="154" spans="2:10" ht="26.4" customHeight="1"/>
    <row r="155" spans="2:10" ht="26.4" customHeight="1"/>
    <row r="156" spans="2:10" s="1" customFormat="1" ht="26.4" customHeight="1">
      <c r="B156" s="2"/>
      <c r="C156" s="2"/>
      <c r="D156" s="2"/>
      <c r="E156" s="3"/>
      <c r="F156" s="3"/>
      <c r="G156" s="3"/>
      <c r="H156" s="3"/>
      <c r="I156" s="3"/>
      <c r="J156" s="2"/>
    </row>
    <row r="157" spans="2:10" s="1" customFormat="1" ht="26.4" customHeight="1">
      <c r="B157" s="2"/>
      <c r="C157" s="2"/>
      <c r="D157" s="2"/>
      <c r="E157" s="3"/>
      <c r="F157" s="3"/>
      <c r="G157" s="3"/>
      <c r="H157" s="3"/>
      <c r="I157" s="3"/>
      <c r="J157" s="2"/>
    </row>
    <row r="158" spans="2:10" s="1" customFormat="1" ht="26.4" customHeight="1">
      <c r="B158" s="2"/>
      <c r="C158" s="2"/>
      <c r="D158" s="2"/>
      <c r="E158" s="3"/>
      <c r="F158" s="3"/>
      <c r="G158" s="3"/>
      <c r="H158" s="3"/>
      <c r="I158" s="3"/>
      <c r="J158" s="2"/>
    </row>
    <row r="159" spans="2:10" s="1" customFormat="1" ht="26.4" customHeight="1">
      <c r="B159" s="2"/>
      <c r="C159" s="2"/>
      <c r="D159" s="2"/>
      <c r="E159" s="3"/>
      <c r="F159" s="3"/>
      <c r="G159" s="3"/>
      <c r="H159" s="3"/>
      <c r="I159" s="3"/>
      <c r="J159" s="2"/>
    </row>
    <row r="160" spans="2:10" ht="26.4" customHeight="1"/>
    <row r="161" spans="2:10" ht="26.4" customHeight="1"/>
    <row r="162" spans="2:10" ht="26.4" customHeight="1"/>
    <row r="163" spans="2:10" ht="26.4" customHeight="1"/>
    <row r="164" spans="2:10" ht="26.4" customHeight="1"/>
    <row r="165" spans="2:10" ht="26.4" customHeight="1"/>
    <row r="166" spans="2:10" ht="26.4" customHeight="1"/>
    <row r="167" spans="2:10" ht="26.4" customHeight="1"/>
    <row r="168" spans="2:10" ht="26.4" customHeight="1"/>
    <row r="169" spans="2:10" ht="26.4" customHeight="1"/>
    <row r="170" spans="2:10" ht="26.4" customHeight="1"/>
    <row r="171" spans="2:10" ht="26.4" customHeight="1"/>
    <row r="172" spans="2:10" s="1" customFormat="1" ht="26.4" customHeight="1">
      <c r="B172" s="2"/>
      <c r="C172" s="2"/>
      <c r="D172" s="2"/>
      <c r="E172" s="3"/>
      <c r="F172" s="3"/>
      <c r="G172" s="3"/>
      <c r="H172" s="3"/>
      <c r="I172" s="3"/>
      <c r="J172" s="2"/>
    </row>
    <row r="173" spans="2:10" ht="26.4" customHeight="1"/>
    <row r="174" spans="2:10" s="1" customFormat="1" ht="26.4" customHeight="1">
      <c r="B174" s="2"/>
      <c r="C174" s="2"/>
      <c r="D174" s="2"/>
      <c r="E174" s="3"/>
      <c r="F174" s="3"/>
      <c r="G174" s="3"/>
      <c r="H174" s="3"/>
      <c r="I174" s="3"/>
      <c r="J174" s="2"/>
    </row>
    <row r="175" spans="2:10" s="1" customFormat="1" ht="26.4" customHeight="1">
      <c r="B175" s="2"/>
      <c r="C175" s="2"/>
      <c r="D175" s="2"/>
      <c r="E175" s="3"/>
      <c r="F175" s="3"/>
      <c r="G175" s="3"/>
      <c r="H175" s="3"/>
      <c r="I175" s="3"/>
      <c r="J175" s="2"/>
    </row>
    <row r="176" spans="2:10" ht="26.4" customHeight="1"/>
    <row r="177" spans="2:10" ht="26.4" customHeight="1"/>
    <row r="178" spans="2:10" ht="26.4" customHeight="1"/>
    <row r="179" spans="2:10" ht="26.4" customHeight="1"/>
    <row r="180" spans="2:10" ht="26.4" customHeight="1"/>
    <row r="181" spans="2:10" ht="26.4" customHeight="1"/>
    <row r="182" spans="2:10" ht="26.4" customHeight="1"/>
    <row r="183" spans="2:10" ht="26.4" customHeight="1"/>
    <row r="184" spans="2:10" s="1" customFormat="1" ht="26.4" customHeight="1">
      <c r="B184" s="2"/>
      <c r="C184" s="2"/>
      <c r="D184" s="2"/>
      <c r="E184" s="3"/>
      <c r="F184" s="3"/>
      <c r="G184" s="3"/>
      <c r="H184" s="3"/>
      <c r="I184" s="3"/>
      <c r="J184" s="2"/>
    </row>
    <row r="185" spans="2:10" s="1" customFormat="1" ht="26.4" customHeight="1">
      <c r="B185" s="2"/>
      <c r="C185" s="2"/>
      <c r="D185" s="2"/>
      <c r="E185" s="3"/>
      <c r="F185" s="3"/>
      <c r="G185" s="3"/>
      <c r="H185" s="3"/>
      <c r="I185" s="3"/>
      <c r="J185" s="2"/>
    </row>
    <row r="186" spans="2:10" ht="26.4" customHeight="1"/>
    <row r="187" spans="2:10" s="1" customFormat="1" ht="26.4" customHeight="1">
      <c r="B187" s="2"/>
      <c r="C187" s="2"/>
      <c r="D187" s="2"/>
      <c r="E187" s="3"/>
      <c r="F187" s="3"/>
      <c r="G187" s="3"/>
      <c r="H187" s="3"/>
      <c r="I187" s="3"/>
      <c r="J187" s="2"/>
    </row>
    <row r="188" spans="2:10" s="1" customFormat="1" ht="26.4" customHeight="1">
      <c r="B188" s="2"/>
      <c r="C188" s="2"/>
      <c r="D188" s="2"/>
      <c r="E188" s="3"/>
      <c r="F188" s="3"/>
      <c r="G188" s="3"/>
      <c r="H188" s="3"/>
      <c r="I188" s="3"/>
      <c r="J188" s="2"/>
    </row>
    <row r="189" spans="2:10" ht="26.4" customHeight="1"/>
    <row r="190" spans="2:10" s="1" customFormat="1" ht="26.4" customHeight="1">
      <c r="B190" s="2"/>
      <c r="C190" s="2"/>
      <c r="D190" s="2"/>
      <c r="E190" s="3"/>
      <c r="F190" s="3"/>
      <c r="G190" s="3"/>
      <c r="H190" s="3"/>
      <c r="I190" s="3"/>
      <c r="J190" s="2"/>
    </row>
    <row r="191" spans="2:10" s="1" customFormat="1" ht="26.4" customHeight="1">
      <c r="B191" s="2"/>
      <c r="C191" s="2"/>
      <c r="D191" s="2"/>
      <c r="E191" s="3"/>
      <c r="F191" s="3"/>
      <c r="G191" s="3"/>
      <c r="H191" s="3"/>
      <c r="I191" s="3"/>
      <c r="J191" s="2"/>
    </row>
    <row r="192" spans="2:10" s="1" customFormat="1" ht="26.4" customHeight="1">
      <c r="B192" s="2"/>
      <c r="C192" s="2"/>
      <c r="D192" s="2"/>
      <c r="E192" s="3"/>
      <c r="F192" s="3"/>
      <c r="G192" s="3"/>
      <c r="H192" s="3"/>
      <c r="I192" s="3"/>
      <c r="J192" s="2"/>
    </row>
    <row r="193" spans="1:12" ht="26.4" customHeight="1"/>
    <row r="194" spans="1:12" ht="26.4" customHeight="1"/>
    <row r="195" spans="1:12" ht="26.4" customHeight="1"/>
    <row r="196" spans="1:12" ht="26.4" customHeight="1"/>
    <row r="197" spans="1:12" ht="26.4" customHeight="1"/>
    <row r="198" spans="1:12" ht="26.4" customHeight="1"/>
    <row r="199" spans="1:12" ht="26.4" customHeight="1"/>
    <row r="200" spans="1:12" hidden="1">
      <c r="A200" s="2"/>
      <c r="D200" s="2" t="s">
        <v>54</v>
      </c>
      <c r="K200" s="2"/>
      <c r="L200" s="2"/>
    </row>
    <row r="201" spans="1:12" ht="26.4" customHeight="1"/>
    <row r="202" spans="1:12" ht="26.4" customHeight="1"/>
    <row r="203" spans="1:12" ht="26.4" customHeight="1"/>
    <row r="204" spans="1:12" ht="26.4" customHeight="1"/>
    <row r="205" spans="1:12" ht="26.4" customHeight="1"/>
    <row r="206" spans="1:12" ht="26.4" customHeight="1"/>
    <row r="207" spans="1:12" ht="26.4" customHeight="1"/>
    <row r="208" spans="1:12" ht="26.4" customHeight="1"/>
    <row r="209" spans="2:10" s="1" customFormat="1" ht="26.4" customHeight="1">
      <c r="B209" s="2"/>
      <c r="C209" s="2"/>
      <c r="D209" s="2"/>
      <c r="E209" s="3"/>
      <c r="F209" s="3"/>
      <c r="G209" s="3"/>
      <c r="H209" s="3"/>
      <c r="I209" s="3"/>
      <c r="J209" s="2"/>
    </row>
    <row r="210" spans="2:10" s="1" customFormat="1" ht="26.4" customHeight="1">
      <c r="B210" s="2"/>
      <c r="C210" s="2"/>
      <c r="D210" s="2"/>
      <c r="E210" s="3"/>
      <c r="F210" s="3"/>
      <c r="G210" s="3"/>
      <c r="H210" s="3"/>
      <c r="I210" s="3"/>
      <c r="J210" s="2"/>
    </row>
    <row r="211" spans="2:10" ht="26.4" customHeight="1"/>
    <row r="212" spans="2:10" s="1" customFormat="1" ht="26.4" customHeight="1">
      <c r="B212" s="2"/>
      <c r="C212" s="2"/>
      <c r="D212" s="2"/>
      <c r="E212" s="3"/>
      <c r="F212" s="3"/>
      <c r="G212" s="3"/>
      <c r="H212" s="3"/>
      <c r="I212" s="3"/>
      <c r="J212" s="2"/>
    </row>
    <row r="213" spans="2:10" s="1" customFormat="1" ht="26.4" customHeight="1">
      <c r="B213" s="2"/>
      <c r="C213" s="2"/>
      <c r="D213" s="2"/>
      <c r="E213" s="3"/>
      <c r="F213" s="3"/>
      <c r="G213" s="3"/>
      <c r="H213" s="3"/>
      <c r="I213" s="3"/>
      <c r="J213" s="2"/>
    </row>
    <row r="214" spans="2:10" s="1" customFormat="1" ht="26.4" customHeight="1">
      <c r="B214" s="2"/>
      <c r="C214" s="2"/>
      <c r="D214" s="2"/>
      <c r="E214" s="3"/>
      <c r="F214" s="3"/>
      <c r="G214" s="3"/>
      <c r="H214" s="3"/>
      <c r="I214" s="3"/>
      <c r="J214" s="2"/>
    </row>
    <row r="215" spans="2:10" ht="26.4" customHeight="1"/>
    <row r="216" spans="2:10" ht="26.4" customHeight="1"/>
    <row r="217" spans="2:10" ht="26.4" customHeight="1"/>
    <row r="218" spans="2:10" ht="26.4" customHeight="1"/>
    <row r="219" spans="2:10" ht="26.4" customHeight="1"/>
    <row r="220" spans="2:10" ht="26.4" customHeight="1"/>
    <row r="221" spans="2:10" ht="26.4" customHeight="1"/>
    <row r="222" spans="2:10" ht="26.4" customHeight="1"/>
    <row r="223" spans="2:10" ht="26.4" customHeight="1"/>
    <row r="224" spans="2:10" ht="26.4" customHeight="1"/>
    <row r="225" ht="26.4" customHeight="1"/>
    <row r="226" ht="26.4" customHeight="1"/>
    <row r="227" ht="26.4" customHeight="1"/>
    <row r="228" ht="26.4" customHeight="1"/>
    <row r="229" ht="26.4" customHeight="1"/>
    <row r="230" ht="26.4" customHeight="1"/>
    <row r="231" ht="26.4" customHeight="1"/>
    <row r="232" ht="26.4" customHeight="1"/>
    <row r="233" ht="26.4" customHeight="1"/>
    <row r="234" ht="26.4" customHeight="1"/>
    <row r="235" ht="26.4" customHeight="1"/>
    <row r="236" ht="26.4" customHeight="1"/>
    <row r="237" ht="26.4" customHeight="1"/>
    <row r="238" ht="26.4" customHeight="1"/>
    <row r="239" ht="26.4" customHeight="1"/>
    <row r="240" ht="26.4" customHeight="1"/>
    <row r="241" ht="26.4" customHeight="1"/>
    <row r="242" ht="26.4" customHeight="1"/>
    <row r="243" ht="26.4" customHeight="1"/>
    <row r="244" ht="26.4" customHeight="1"/>
    <row r="245" ht="26.4" customHeight="1"/>
    <row r="246" ht="26.4" customHeight="1"/>
    <row r="247" ht="26.4" customHeight="1"/>
    <row r="248" ht="26.4" customHeight="1"/>
    <row r="249" ht="26.4" customHeight="1"/>
    <row r="250" ht="26.4" customHeight="1"/>
    <row r="251" ht="26.4" customHeight="1"/>
    <row r="252" ht="26.4" customHeight="1"/>
    <row r="253" ht="26.4" customHeight="1"/>
    <row r="254" ht="26.4" customHeight="1"/>
    <row r="255" ht="26.4" customHeight="1"/>
    <row r="256" ht="26.4" customHeight="1"/>
    <row r="257" ht="26.4" customHeight="1"/>
    <row r="258" ht="26.4" customHeight="1"/>
    <row r="259" ht="26.4" customHeight="1"/>
    <row r="260" ht="26.4" customHeight="1"/>
    <row r="261" ht="26.4" customHeight="1"/>
    <row r="262" ht="26.4" customHeight="1"/>
    <row r="263" ht="26.4" customHeight="1"/>
    <row r="264" ht="26.4" customHeight="1"/>
  </sheetData>
  <mergeCells count="1">
    <mergeCell ref="B2:D2"/>
  </mergeCells>
  <phoneticPr fontId="7" type="noConversion"/>
  <conditionalFormatting sqref="G4:H4 G8:H8">
    <cfRule type="colorScale" priority="22">
      <colorScale>
        <cfvo type="formula" val="&quot;عالي&quot;"/>
        <cfvo type="formula" val="&quot;متوسط&quot;"/>
        <cfvo type="formula" val="&quot;منخفض&quot;"/>
        <color rgb="FFF8696B"/>
        <color rgb="FFFFEB84"/>
        <color rgb="FF63BE7B"/>
      </colorScale>
    </cfRule>
  </conditionalFormatting>
  <conditionalFormatting sqref="G29:H29 G129:H1048576 G11:H11">
    <cfRule type="colorScale" priority="23">
      <colorScale>
        <cfvo type="formula" val="&quot;عالي&quot;"/>
        <cfvo type="formula" val="&quot;متوسط&quot;"/>
        <cfvo type="formula" val="&quot;منخفض&quot;"/>
        <color rgb="FFF8696B"/>
        <color rgb="FFFFEB84"/>
        <color rgb="FF63BE7B"/>
      </colorScale>
    </cfRule>
  </conditionalFormatting>
  <conditionalFormatting sqref="C5">
    <cfRule type="colorScale" priority="18">
      <colorScale>
        <cfvo type="formula" val="&quot;عالي&quot;"/>
        <cfvo type="formula" val="&quot;متوسط&quot;"/>
        <cfvo type="formula" val="&quot;منخفض&quot;"/>
        <color rgb="FFF8696B"/>
        <color rgb="FFFFEB84"/>
        <color rgb="FF63BE7B"/>
      </colorScale>
    </cfRule>
  </conditionalFormatting>
  <conditionalFormatting sqref="C6">
    <cfRule type="colorScale" priority="17">
      <colorScale>
        <cfvo type="formula" val="&quot;عالي&quot;"/>
        <cfvo type="formula" val="&quot;متوسط&quot;"/>
        <cfvo type="formula" val="&quot;منخفض&quot;"/>
        <color rgb="FFF8696B"/>
        <color rgb="FFFFEB84"/>
        <color rgb="FF63BE7B"/>
      </colorScale>
    </cfRule>
  </conditionalFormatting>
  <conditionalFormatting sqref="D6:H6">
    <cfRule type="colorScale" priority="16">
      <colorScale>
        <cfvo type="formula" val="&quot;عالي&quot;"/>
        <cfvo type="formula" val="&quot;متوسط&quot;"/>
        <cfvo type="formula" val="&quot;منخفض&quot;"/>
        <color rgb="FFF8696B"/>
        <color rgb="FFFFEB84"/>
        <color rgb="FF63BE7B"/>
      </colorScale>
    </cfRule>
  </conditionalFormatting>
  <conditionalFormatting sqref="G7:H7">
    <cfRule type="colorScale" priority="19">
      <colorScale>
        <cfvo type="formula" val="&quot;عالي&quot;"/>
        <cfvo type="formula" val="&quot;متوسط&quot;"/>
        <cfvo type="formula" val="&quot;منخفض&quot;"/>
        <color rgb="FFF8696B"/>
        <color rgb="FFFFEB84"/>
        <color rgb="FF63BE7B"/>
      </colorScale>
    </cfRule>
  </conditionalFormatting>
  <conditionalFormatting sqref="G5:H5">
    <cfRule type="colorScale" priority="15">
      <colorScale>
        <cfvo type="formula" val="&quot;عالي&quot;"/>
        <cfvo type="formula" val="&quot;متوسط&quot;"/>
        <cfvo type="formula" val="&quot;منخفض&quot;"/>
        <color rgb="FFF8696B"/>
        <color rgb="FFFFEB84"/>
        <color rgb="FF63BE7B"/>
      </colorScale>
    </cfRule>
  </conditionalFormatting>
  <conditionalFormatting sqref="F12:J12">
    <cfRule type="colorScale" priority="14">
      <colorScale>
        <cfvo type="formula" val="&quot;عالي&quot;"/>
        <cfvo type="formula" val="&quot;متوسط&quot;"/>
        <cfvo type="formula" val="&quot;منخفض&quot;"/>
        <color rgb="FFF8696B"/>
        <color rgb="FFFFEB84"/>
        <color rgb="FF63BE7B"/>
      </colorScale>
    </cfRule>
  </conditionalFormatting>
  <conditionalFormatting sqref="G13:H13">
    <cfRule type="colorScale" priority="13">
      <colorScale>
        <cfvo type="formula" val="&quot;عالي&quot;"/>
        <cfvo type="formula" val="&quot;متوسط&quot;"/>
        <cfvo type="formula" val="&quot;منخفض&quot;"/>
        <color rgb="FFF8696B"/>
        <color rgb="FFFFEB84"/>
        <color rgb="FF63BE7B"/>
      </colorScale>
    </cfRule>
  </conditionalFormatting>
  <conditionalFormatting sqref="G49:J49">
    <cfRule type="colorScale" priority="12">
      <colorScale>
        <cfvo type="formula" val="&quot;عالي&quot;"/>
        <cfvo type="formula" val="&quot;متوسط&quot;"/>
        <cfvo type="formula" val="&quot;منخفض&quot;"/>
        <color rgb="FFF8696B"/>
        <color rgb="FFFFEB84"/>
        <color rgb="FF63BE7B"/>
      </colorScale>
    </cfRule>
  </conditionalFormatting>
  <conditionalFormatting sqref="G50:J50">
    <cfRule type="colorScale" priority="11">
      <colorScale>
        <cfvo type="formula" val="&quot;عالي&quot;"/>
        <cfvo type="formula" val="&quot;متوسط&quot;"/>
        <cfvo type="formula" val="&quot;منخفض&quot;"/>
        <color rgb="FFF8696B"/>
        <color rgb="FFFFEB84"/>
        <color rgb="FF63BE7B"/>
      </colorScale>
    </cfRule>
  </conditionalFormatting>
  <conditionalFormatting sqref="G51:J51">
    <cfRule type="colorScale" priority="10">
      <colorScale>
        <cfvo type="formula" val="&quot;عالي&quot;"/>
        <cfvo type="formula" val="&quot;متوسط&quot;"/>
        <cfvo type="formula" val="&quot;منخفض&quot;"/>
        <color rgb="FFF8696B"/>
        <color rgb="FFFFEB84"/>
        <color rgb="FF63BE7B"/>
      </colorScale>
    </cfRule>
  </conditionalFormatting>
  <conditionalFormatting sqref="G52:J52">
    <cfRule type="colorScale" priority="9">
      <colorScale>
        <cfvo type="formula" val="&quot;عالي&quot;"/>
        <cfvo type="formula" val="&quot;متوسط&quot;"/>
        <cfvo type="formula" val="&quot;منخفض&quot;"/>
        <color rgb="FFF8696B"/>
        <color rgb="FFFFEB84"/>
        <color rgb="FF63BE7B"/>
      </colorScale>
    </cfRule>
  </conditionalFormatting>
  <conditionalFormatting sqref="C114:I116">
    <cfRule type="colorScale" priority="3">
      <colorScale>
        <cfvo type="formula" val="&quot;عالي&quot;"/>
        <cfvo type="formula" val="&quot;متوسط&quot;"/>
        <cfvo type="formula" val="&quot;منخفض&quot;"/>
        <color rgb="FFF8696B"/>
        <color rgb="FFFFEB84"/>
        <color rgb="FF63BE7B"/>
      </colorScale>
    </cfRule>
  </conditionalFormatting>
  <conditionalFormatting sqref="D78:I84">
    <cfRule type="colorScale" priority="8">
      <colorScale>
        <cfvo type="formula" val="&quot;عالي&quot;"/>
        <cfvo type="formula" val="&quot;متوسط&quot;"/>
        <cfvo type="formula" val="&quot;منخفض&quot;"/>
        <color rgb="FFF8696B"/>
        <color rgb="FFFFEB84"/>
        <color rgb="FF63BE7B"/>
      </colorScale>
    </cfRule>
  </conditionalFormatting>
  <conditionalFormatting sqref="D127:D128 F127:F128 C117:I126 I127">
    <cfRule type="colorScale" priority="7">
      <colorScale>
        <cfvo type="formula" val="&quot;عالي&quot;"/>
        <cfvo type="formula" val="&quot;متوسط&quot;"/>
        <cfvo type="formula" val="&quot;منخفض&quot;"/>
        <color rgb="FFF8696B"/>
        <color rgb="FFFFEB84"/>
        <color rgb="FF63BE7B"/>
      </colorScale>
    </cfRule>
  </conditionalFormatting>
  <conditionalFormatting sqref="C127:C128 E127:E128 G128:I128 G127:H127">
    <cfRule type="colorScale" priority="6">
      <colorScale>
        <cfvo type="formula" val="&quot;عالي&quot;"/>
        <cfvo type="formula" val="&quot;متوسط&quot;"/>
        <cfvo type="formula" val="&quot;منخفض&quot;"/>
        <color rgb="FFF8696B"/>
        <color rgb="FFFFEB84"/>
        <color rgb="FF63BE7B"/>
      </colorScale>
    </cfRule>
  </conditionalFormatting>
  <conditionalFormatting sqref="J117:J127">
    <cfRule type="colorScale" priority="5">
      <colorScale>
        <cfvo type="formula" val="&quot;عالي&quot;"/>
        <cfvo type="formula" val="&quot;متوسط&quot;"/>
        <cfvo type="formula" val="&quot;منخفض&quot;"/>
        <color rgb="FFF8696B"/>
        <color rgb="FFFFEB84"/>
        <color rgb="FF63BE7B"/>
      </colorScale>
    </cfRule>
  </conditionalFormatting>
  <conditionalFormatting sqref="J128">
    <cfRule type="colorScale" priority="4">
      <colorScale>
        <cfvo type="formula" val="&quot;عالي&quot;"/>
        <cfvo type="formula" val="&quot;متوسط&quot;"/>
        <cfvo type="formula" val="&quot;منخفض&quot;"/>
        <color rgb="FFF8696B"/>
        <color rgb="FFFFEB84"/>
        <color rgb="FF63BE7B"/>
      </colorScale>
    </cfRule>
  </conditionalFormatting>
  <conditionalFormatting sqref="C109:I113">
    <cfRule type="colorScale" priority="2">
      <colorScale>
        <cfvo type="formula" val="&quot;عالي&quot;"/>
        <cfvo type="formula" val="&quot;متوسط&quot;"/>
        <cfvo type="formula" val="&quot;منخفض&quot;"/>
        <color rgb="FFF8696B"/>
        <color rgb="FFFFEB84"/>
        <color rgb="FF63BE7B"/>
      </colorScale>
    </cfRule>
  </conditionalFormatting>
  <conditionalFormatting sqref="J109:J113">
    <cfRule type="colorScale" priority="1">
      <colorScale>
        <cfvo type="formula" val="&quot;عالي&quot;"/>
        <cfvo type="formula" val="&quot;متوسط&quot;"/>
        <cfvo type="formula" val="&quot;منخفض&quot;"/>
        <color rgb="FFF8696B"/>
        <color rgb="FFFFEB84"/>
        <color rgb="FF63BE7B"/>
      </colorScale>
    </cfRule>
  </conditionalFormatting>
  <dataValidations count="3">
    <dataValidation type="list" allowBlank="1" showInputMessage="1" showErrorMessage="1" sqref="H2 F8 H8 H22:H26 F129:F131 F15 F22:F26 F42:F74 H42:H46 H58:H61 F93:F108 H56 H69:H74 H53:H54 H94:H100 H129:H1048576" xr:uid="{91459CF8-2D30-4C82-85BF-97890B08C460}">
      <formula1>#REF!</formula1>
    </dataValidation>
    <dataValidation type="list" allowBlank="1" showInputMessage="1" showErrorMessage="1" sqref="H5:H7 F7 F12 H30:H41 H57 H55 H47:H52 H62:H68 F75:F92 H75:H93 H12 H14:H21 F109:F128 H109:H128" xr:uid="{3673ECD0-D271-4CC3-BBD0-7E3C1341A58C}">
      <formula1>#REF!</formula1>
    </dataValidation>
    <dataValidation operator="notBetween" allowBlank="1" showInputMessage="1" showErrorMessage="1" sqref="J5" xr:uid="{9B64DB1B-52B1-4044-831A-55CA19E23638}"/>
  </dataValidations>
  <pageMargins left="0.7" right="0.7" top="0.75" bottom="0.75" header="0.3" footer="0.3"/>
  <pageSetup scale="34" fitToHeight="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53AF634-EC82-4856-AD7F-4D1329E426A5}">
          <x14:formula1>
            <xm:f>'C:\Users\Administrator\Desktop\تحديث الاشتراطات\مهند\الخياطة\[نسخة من قوائم التفحص النهائيةv3.xlsx]التصنيفات الرئيسية'!#REF!</xm:f>
          </x14:formula1>
          <xm:sqref>F5:F6 F16:F21 F14 F30:F41</xm:sqref>
        </x14:dataValidation>
        <x14:dataValidation type="list" allowBlank="1" showInputMessage="1" showErrorMessage="1" xr:uid="{696F6D71-93B4-4415-B569-C378F0B4E995}">
          <x14:formula1>
            <xm:f>'C:\Users\m.alasmari\Desktop\[نسخة من نسخة من قوائم التفحص النهائية - المجمعات التجارية والأسواق الشعبيةV5.xlsx]Sheet4'!#REF!</xm:f>
          </x14:formula1>
          <xm:sqref>H13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rvice_x0020_Line xmlns="ae41d526-3c1f-4054-b9e0-7b37076a5949">
      <Value>Digital</Value>
    </Service_x0020_Line>
    <_Flow_SignoffStatus xmlns="ae41d526-3c1f-4054-b9e0-7b37076a5949" xsi:nil="true"/>
    <date xmlns="ae41d526-3c1f-4054-b9e0-7b37076a5949" xsi:nil="true"/>
    <ny4p xmlns="ae41d526-3c1f-4054-b9e0-7b37076a5949">
      <UserInfo>
        <DisplayName/>
        <AccountId xsi:nil="true"/>
        <AccountType/>
      </UserInfo>
    </ny4p>
    <lcf76f155ced4ddcb4097134ff3c332f xmlns="ae41d526-3c1f-4054-b9e0-7b37076a5949">
      <Terms xmlns="http://schemas.microsoft.com/office/infopath/2007/PartnerControls"/>
    </lcf76f155ced4ddcb4097134ff3c332f>
    <TaxCatchAll xmlns="f056c982-2665-4f8b-8532-88c17591ec4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78B26E2E0BC7439300C98360F5D596" ma:contentTypeVersion="25" ma:contentTypeDescription="Create a new document." ma:contentTypeScope="" ma:versionID="cec6390db65047196a3f44847b550c9f">
  <xsd:schema xmlns:xsd="http://www.w3.org/2001/XMLSchema" xmlns:xs="http://www.w3.org/2001/XMLSchema" xmlns:p="http://schemas.microsoft.com/office/2006/metadata/properties" xmlns:ns2="ae41d526-3c1f-4054-b9e0-7b37076a5949" xmlns:ns3="f056c982-2665-4f8b-8532-88c17591ec43" targetNamespace="http://schemas.microsoft.com/office/2006/metadata/properties" ma:root="true" ma:fieldsID="0ddb0b02c923b3d1a4b4cb588d5e85fb" ns2:_="" ns3:_="">
    <xsd:import namespace="ae41d526-3c1f-4054-b9e0-7b37076a5949"/>
    <xsd:import namespace="f056c982-2665-4f8b-8532-88c17591ec4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ny4p" minOccurs="0"/>
                <xsd:element ref="ns2:MediaLengthInSeconds" minOccurs="0"/>
                <xsd:element ref="ns2:_Flow_SignoffStatus" minOccurs="0"/>
                <xsd:element ref="ns2:Service_x0020_Line" minOccurs="0"/>
                <xsd:element ref="ns2:lcf76f155ced4ddcb4097134ff3c332f" minOccurs="0"/>
                <xsd:element ref="ns3:TaxCatchAll" minOccurs="0"/>
                <xsd:element ref="ns2:MediaServiceSearchProperties" minOccurs="0"/>
                <xsd:element ref="ns2:MediaServiceObjectDetectorVersions"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41d526-3c1f-4054-b9e0-7b37076a59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ny4p" ma:index="19" nillable="true" ma:displayName="Person or Group" ma:list="UserInfo" ma:internalName="ny4p">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Service_x0020_Line" ma:index="22" nillable="true" ma:displayName="Service Line" ma:default="Digital" ma:internalName="Service_x0020_Line">
      <xsd:complexType>
        <xsd:complexContent>
          <xsd:extension base="dms:MultiChoice">
            <xsd:sequence>
              <xsd:element name="Value" maxOccurs="unbounded" minOccurs="0" nillable="true">
                <xsd:simpleType>
                  <xsd:restriction base="dms:Choice">
                    <xsd:enumeration value="Digital"/>
                    <xsd:enumeration value="Marketing"/>
                    <xsd:enumeration value="Strategy"/>
                    <xsd:enumeration value="Operation"/>
                  </xsd:restriction>
                </xsd:simpleType>
              </xsd:element>
            </xsd:sequence>
          </xsd:extension>
        </xsd:complexContent>
      </xsd:complex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440aaa6-0202-42ba-8062-f556a7970ead" ma:termSetId="09814cd3-568e-fe90-9814-8d621ff8fb84" ma:anchorId="fba54fb3-c3e1-fe81-a776-ca4b69148c4d" ma:open="true" ma:isKeyword="false">
      <xsd:complexType>
        <xsd:sequence>
          <xsd:element ref="pc:Terms" minOccurs="0" maxOccurs="1"/>
        </xsd:sequence>
      </xsd:complex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date" ma:index="28" nillable="true" ma:displayName="date" ma:format="DateTime"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056c982-2665-4f8b-8532-88c17591ec4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bed6c72d-53c0-4f50-aa43-246960167c2f}" ma:internalName="TaxCatchAll" ma:showField="CatchAllData" ma:web="f056c982-2665-4f8b-8532-88c17591ec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19A72C-4B76-4370-86DC-6C50F0CC3FEC}">
  <ds:schemaRefs>
    <ds:schemaRef ds:uri="http://purl.org/dc/terms/"/>
    <ds:schemaRef ds:uri="http://www.w3.org/XML/1998/namespace"/>
    <ds:schemaRef ds:uri="ae41d526-3c1f-4054-b9e0-7b37076a5949"/>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f056c982-2665-4f8b-8532-88c17591ec43"/>
    <ds:schemaRef ds:uri="http://schemas.microsoft.com/office/2006/metadata/properties"/>
  </ds:schemaRefs>
</ds:datastoreItem>
</file>

<file path=customXml/itemProps2.xml><?xml version="1.0" encoding="utf-8"?>
<ds:datastoreItem xmlns:ds="http://schemas.openxmlformats.org/officeDocument/2006/customXml" ds:itemID="{6FF07663-6BA9-4B64-8ECB-40F770DC9F1A}">
  <ds:schemaRefs>
    <ds:schemaRef ds:uri="http://schemas.microsoft.com/sharepoint/v3/contenttype/forms"/>
  </ds:schemaRefs>
</ds:datastoreItem>
</file>

<file path=customXml/itemProps3.xml><?xml version="1.0" encoding="utf-8"?>
<ds:datastoreItem xmlns:ds="http://schemas.openxmlformats.org/officeDocument/2006/customXml" ds:itemID="{E85E32BA-8457-44D5-848C-79B7611BD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41d526-3c1f-4054-b9e0-7b37076a5949"/>
    <ds:schemaRef ds:uri="f056c982-2665-4f8b-8532-88c17591ec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قوائم_التدقيق</vt:lpstr>
      <vt:lpstr>قوائم_التفحص</vt:lpstr>
      <vt:lpstr>قوائم_التدقيق!Print_Area</vt:lpstr>
      <vt:lpstr>قوائم_التفحص!Print_Area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Hussain  Alyaseen</dc:creator>
  <cp:keywords/>
  <dc:description/>
  <cp:lastModifiedBy>Lama Ahmed Abdulhadi Faqih لمى احمد عبدالهادي فقيه</cp:lastModifiedBy>
  <cp:revision/>
  <dcterms:created xsi:type="dcterms:W3CDTF">2023-12-24T13:21:29Z</dcterms:created>
  <dcterms:modified xsi:type="dcterms:W3CDTF">2024-08-25T07:46:38Z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0x0101005978B26E2E0BC7439300C98360F5D596</vt:lpwstr>
  </property>
  <property fmtid="{D5CDD505-2E9C-101B-9397-08002B2CF9AE}" pid="3" name="MediaServiceImageTags">
    <vt:lpwstr/>
  </property>
</Properties>
</file>